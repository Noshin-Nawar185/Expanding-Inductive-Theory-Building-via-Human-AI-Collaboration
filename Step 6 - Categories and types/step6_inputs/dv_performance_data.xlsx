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cts" sheetId="2" state="visible" r:id="rId4"/>
    <sheet name="Albums" sheetId="3" state="visible" r:id="rId5"/>
    <sheet name="Grammy nominations" sheetId="4" state="visible" r:id="rId6"/>
    <sheet name="Breaks" sheetId="5" state="visible" r:id="rId7"/>
  </sheets>
  <definedNames>
    <definedName function="false" hidden="true" localSheetId="1" name="_xlnm._FilterDatabase" vbProcedure="false">Acts!$A$1:$Z$53</definedName>
    <definedName function="false" hidden="true" localSheetId="2" name="_xlnm._FilterDatabase" vbProcedure="false">Albums!$A$1:$O$406</definedName>
    <definedName function="false" hidden="true" localSheetId="3" name="_xlnm._FilterDatabase" vbProcedure="false">'Grammy nominations'!$A$1:$G$189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<sst xmlns="http://schemas.openxmlformats.org/spreadsheetml/2006/main" count="4135" uniqueCount="1951">
  <si>
    <t xml:space="preserve">Performance (DV) data for Step 6, round 2</t>
  </si>
  <si>
    <t xml:space="preserve">What this is</t>
  </si>
  <si>
    <t xml:space="preserve">Outcome data for the 52 acts, following the measures Harrison et al. (2023) collected: each studio album's Billboard 200 peak and RIAA certification, the act's later Grammy nominations, its years active and its album counts. Best Ever Albums rankings and SecondHandSongs cover counts are left for Step 11.</t>
  </si>
  <si>
    <t xml:space="preserve">Sheets</t>
  </si>
  <si>
    <t xml:space="preserve">Acts: one row per act, every figure a formula over the other sheets. Albums: one row per original studio album, from the final events file. Grammy nominations: one row per nomination at the Best New Artist ceremony (other categories) or later. Breaks: each breakup and the reunion that ended it, used for years active.</t>
  </si>
  <si>
    <t xml:space="preserve">Reference point</t>
  </si>
  <si>
    <t xml:space="preserve">'After the ceremony' means after the act's Best New Artist ceremony. Albums dated only to a month are placed on the 15th, and albums dated only to a year on 1 July, for this comparison.</t>
  </si>
  <si>
    <t xml:space="preserve">Billboard 200 peak</t>
  </si>
  <si>
    <t xml:space="preserve">The album's peak on the main US albums chart (the Billboard 200 and its earlier names), not genre charts. Blank means it did not chart. Mostly from the 'US' column of Wikipedia discography tables, which cite Billboard.</t>
  </si>
  <si>
    <t xml:space="preserve">RIAA certification</t>
  </si>
  <si>
    <t xml:space="preserve">The highest US certification (Gold = 0.5 million units, Platinum = 1 million, n× Platinum = n million, Diamond = 10 million). 'RIAA units' converts the level into millions. Mostly from Wikipedia discography tables, which cite the RIAA database.</t>
  </si>
  <si>
    <t xml:space="preserve">Released in the US?</t>
  </si>
  <si>
    <t xml:space="preserve">'yes' if the album charted on the Billboard 200 or another US Billboard chart (R&amp;B, country, gospel, jazz), was RIAA-certified, or a source states a US release; 'no' if a source states it was not released there (coded by the original release, not later reissues); 'unknown' if no source says either way, which is not evidence that it wasn't released. Harrison counted only US albums; use this column to apply that rule.</t>
  </si>
  <si>
    <t xml:space="preserve">Grammy nominations</t>
  </si>
  <si>
    <t xml:space="preserve">From each act's page on grammy.com (the Recording Academy). 'Later' means at a ceremony after the act's Best New Artist ceremony; nominations in other categories at the same ceremony are listed separately and not counted as later. For groups, only nominations credited to the group count, not members' solo ones.</t>
  </si>
  <si>
    <t xml:space="preserve">Years active</t>
  </si>
  <si>
    <t xml:space="preserve">The years in which the act was making new studio albums: from the year of its first studio album to the year of its last, counting both, minus the years between a breakup and the reunion that ended it (counted only when both fall inside that span). 'After the ceremony' starts the count at the ceremony year. Solo acts have no breakups in the events file, so long quiet spells between their albums are not subtracted.</t>
  </si>
  <si>
    <t xml:space="preserve">Judgement calls</t>
  </si>
  <si>
    <t xml:space="preserve">Nominations count when grammy.com credits them to the act, including shared songwriting and collaboration nominations (for example Sade's 2002 Female Pop Vocal nomination, credited to Sade). Where an act's grammy.com page would not open (Rick Astley, Soul II Soul, Jody Watley, Jennifer Holliday), Wikipedia's awards table was used; for Simply Red and the Pretenders, band members' grammy.com pages listing nominations credited to the band. Each album's and act's source and any doubts are in the Source and Note columns.</t>
  </si>
  <si>
    <t xml:space="preserve">Source of the album list</t>
  </si>
  <si>
    <t xml:space="preserve">events_final.txt (the final events dataset): original studio albums only, dated by their first release anywhere.</t>
  </si>
  <si>
    <t xml:space="preserve">Built</t>
  </si>
  <si>
    <t xml:space="preserve">29 October 2026. Values entered from research are in the Albums and Grammy nominations sheets; everything in Acts and Breaks is calculated.</t>
  </si>
  <si>
    <t xml:space="preserve">act_id</t>
  </si>
  <si>
    <t xml:space="preserve">Act</t>
  </si>
  <si>
    <t xml:space="preserve">Solo or group</t>
  </si>
  <si>
    <t xml:space="preserve">Best New Artist ceremony</t>
  </si>
  <si>
    <t xml:space="preserve">Ceremony year</t>
  </si>
  <si>
    <t xml:space="preserve">Best New Artist result</t>
  </si>
  <si>
    <t xml:space="preserve">Studio albums (all)</t>
  </si>
  <si>
    <t xml:space="preserve">Studio albums after the ceremony</t>
  </si>
  <si>
    <t xml:space="preserve">Studio albums released in the US</t>
  </si>
  <si>
    <t xml:space="preserve">Albums charted on the Billboard 200 (all)</t>
  </si>
  <si>
    <t xml:space="preserve">Albums charted after the ceremony</t>
  </si>
  <si>
    <t xml:space="preserve">First album year</t>
  </si>
  <si>
    <t xml:space="preserve">Last album year</t>
  </si>
  <si>
    <t xml:space="preserve">Best Billboard 200 peak (all)</t>
  </si>
  <si>
    <t xml:space="preserve">Best Billboard 200 peak after the ceremony</t>
  </si>
  <si>
    <t xml:space="preserve">Top-40 albums after the ceremony</t>
  </si>
  <si>
    <t xml:space="preserve">RIAA-certified albums (all)</t>
  </si>
  <si>
    <t xml:space="preserve">RIAA-certified albums after the ceremony</t>
  </si>
  <si>
    <t xml:space="preserve">RIAA units, millions (all)</t>
  </si>
  <si>
    <t xml:space="preserve">RIAA units, millions, after the ceremony</t>
  </si>
  <si>
    <t xml:space="preserve">Later Grammy nominations</t>
  </si>
  <si>
    <t xml:space="preserve">Later Grammy wins</t>
  </si>
  <si>
    <t xml:space="preserve">Other nominations at the same ceremony</t>
  </si>
  <si>
    <t xml:space="preserve">Years active (all)</t>
  </si>
  <si>
    <t xml:space="preserve">Years active after the ceremony</t>
  </si>
  <si>
    <t xml:space="preserve">Note</t>
  </si>
  <si>
    <t xml:space="preserve">act_032</t>
  </si>
  <si>
    <t xml:space="preserve">a-ha</t>
  </si>
  <si>
    <t xml:space="preserve">Group</t>
  </si>
  <si>
    <t xml:space="preserve">nominated</t>
  </si>
  <si>
    <t xml:space="preserve">grammy.com lists 1 nomination (Best New Artist 1986), 0 wins</t>
  </si>
  <si>
    <t xml:space="preserve">act_012</t>
  </si>
  <si>
    <t xml:space="preserve">Adam and the Ants</t>
  </si>
  <si>
    <t xml:space="preserve">grammy.com lists 1 nomination (Best New Artist 1982), 0 wins; Adam Ant solo page excluded; Wikipedia band page lists only the same BNA nomination</t>
  </si>
  <si>
    <t xml:space="preserve">act_009</t>
  </si>
  <si>
    <t xml:space="preserve">Amy Holland</t>
  </si>
  <si>
    <t xml:space="preserve">Solo</t>
  </si>
  <si>
    <t xml:space="preserve">grammy.com lists only the Best New Artist nomination (1981).</t>
  </si>
  <si>
    <t xml:space="preserve">act_017</t>
  </si>
  <si>
    <t xml:space="preserve">Asia</t>
  </si>
  <si>
    <t xml:space="preserve">grammy.com shows 2 nominations, 0 wins, both at the 25th ceremony (1983).</t>
  </si>
  <si>
    <t xml:space="preserve">act_022</t>
  </si>
  <si>
    <t xml:space="preserve">Big Country</t>
  </si>
  <si>
    <t xml:space="preserve">grammy.com lists 2 nominations, both at 1984 ceremony, 0 wins</t>
  </si>
  <si>
    <t xml:space="preserve">act_042</t>
  </si>
  <si>
    <t xml:space="preserve">Breakfast Club</t>
  </si>
  <si>
    <t xml:space="preserve">grammy.com lists a single entry: Best New Artist, 1988 (30th), nominated. 0 wins, 1 nomination.</t>
  </si>
  <si>
    <t xml:space="preserve">act_036</t>
  </si>
  <si>
    <t xml:space="preserve">Bruce Hornsby and the Range</t>
  </si>
  <si>
    <t xml:space="preserve">won</t>
  </si>
  <si>
    <t xml:space="preserve">grammy.com 'Bruce Hornsby And The Range' page shows 2 nominations / 1 win: 1987 Best New Artist (won) and 1991 Across The River. Bruce Hornsby solo nominations excluded per instructions.</t>
  </si>
  <si>
    <t xml:space="preserve">act_006</t>
  </si>
  <si>
    <t xml:space="preserve">Christopher Cross</t>
  </si>
  <si>
    <t xml:space="preserve">grammy.com: 5 wins, 9 nominations (incl. BNA 1981 win)</t>
  </si>
  <si>
    <t xml:space="preserve">act_029</t>
  </si>
  <si>
    <t xml:space="preserve">Corey Hart</t>
  </si>
  <si>
    <t xml:space="preserve">grammy.com shows 1 nomination (Best New Artist, 27th, 1985), 0 wins.</t>
  </si>
  <si>
    <t xml:space="preserve">act_021</t>
  </si>
  <si>
    <t xml:space="preserve">Culture Club</t>
  </si>
  <si>
    <t xml:space="preserve">grammy.com shows 2 nominations / 1 win, both at the 1984 ceremony (Best New Artist won; Do You Really Want To Hurt Me nominated).</t>
  </si>
  <si>
    <t xml:space="preserve">act_043</t>
  </si>
  <si>
    <t xml:space="preserve">Cutting Crew</t>
  </si>
  <si>
    <t xml:space="preserve">grammy.com lists 1 nomination (Best New Artist 1988), 0 wins; Wikipedia band page says one nomination (Best New Artist)</t>
  </si>
  <si>
    <t xml:space="preserve">act_026</t>
  </si>
  <si>
    <t xml:space="preserve">Cyndi Lauper</t>
  </si>
  <si>
    <t xml:space="preserve">grammy.com shows 16 nominations, 2 wins (Best New Artist 1985 and Best Musical Theater Album 2014 for Kinky Boots); the 2017 Kinky Boots entry is labelled Nominee on grammy.com. The 2005 arrangement nomination is listed on her grammy.com page although the category honours the arranger.</t>
  </si>
  <si>
    <t xml:space="preserve">act_002</t>
  </si>
  <si>
    <t xml:space="preserve">Dire Straits</t>
  </si>
  <si>
    <t xml:space="preserve">grammy.com lists 7 entries (2 wins) including Best New Artist 1980.</t>
  </si>
  <si>
    <t xml:space="preserve">act_023</t>
  </si>
  <si>
    <t xml:space="preserve">Eurythmics</t>
  </si>
  <si>
    <t xml:space="preserve">grammy.com: 7 entries incl. BNA 1984; 1986 R&amp;B duo/group nomination shared with Aretha Franklin; Annie Lennox / Dave Stewart solo nominations excluded</t>
  </si>
  <si>
    <t xml:space="preserve">act_028</t>
  </si>
  <si>
    <t xml:space="preserve">Frankie Goes to Hollywood</t>
  </si>
  <si>
    <t xml:space="preserve">grammy.com lists only the Best New Artist nomination (1985).</t>
  </si>
  <si>
    <t xml:space="preserve">act_033</t>
  </si>
  <si>
    <t xml:space="preserve">Freddie Jackson</t>
  </si>
  <si>
    <t xml:space="preserve">grammy.com lists 2 nominations, 0 wins, both at 1986 ceremony; matches Wikipedia (which labels them 1985, the eligibility year)</t>
  </si>
  <si>
    <t xml:space="preserve">act_037</t>
  </si>
  <si>
    <t xml:space="preserve">Glass Tiger</t>
  </si>
  <si>
    <t xml:space="preserve">grammy.com lists 1 nomination (Best New Artist 1987), 0 wins</t>
  </si>
  <si>
    <t xml:space="preserve">act_013</t>
  </si>
  <si>
    <t xml:space="preserve">The Go-Go's</t>
  </si>
  <si>
    <t xml:space="preserve">grammy.com lists 1 nomination (Best New Artist 1982), 0 wins. Excluded: 1983 Best Album Package nomination for Vacation (listed on Wikipedia The Go-Go's page); per Wikipedia Best Recording Package page it is credited to art directors Ginger Canzoneri and Mick Haggerty, with the Go-Go's only as performing artist, and it is not on the band's grammy.com page</t>
  </si>
  <si>
    <t xml:space="preserve">act_019</t>
  </si>
  <si>
    <t xml:space="preserve">The Human League</t>
  </si>
  <si>
    <t xml:space="preserve">grammy.com lists 1 nomination (Best New Artist 1983), 0 wins; Wikipedia band page lists only the same BNA nomination</t>
  </si>
  <si>
    <t xml:space="preserve">act_052</t>
  </si>
  <si>
    <t xml:space="preserve">Indigo Girls</t>
  </si>
  <si>
    <t xml:space="preserve">grammy.com files all folk entries under its current umbrella name "Contemporary Folk Album" (page heading "Best Contemporary Folk Album incl. Best Ethnic or Contemporary Folk Recording"); the 1991 entry is a track ("Hammer And A Nail"), so its category at that ceremony was likely the then-current folk recording category</t>
  </si>
  <si>
    <t xml:space="preserve">act_007</t>
  </si>
  <si>
    <t xml:space="preserve">Irene Cara</t>
  </si>
  <si>
    <t xml:space="preserve">grammy.com lists 6 nominations incl. 2 wins; matches Wikipedia awards table. Album of the Year and Score credits are shared with other artists/songwriters</t>
  </si>
  <si>
    <t xml:space="preserve">act_014</t>
  </si>
  <si>
    <t xml:space="preserve">James Ingram</t>
  </si>
  <si>
    <t xml:space="preserve">grammy.com lists 14 nominations / 2 wins; 1982 entries and P.Y.T. had no status label on grammy.com, so won/nominated for those taken from Wikipedia James Ingram page (One Hundred Ways won 1982; P.Y.T. nominated).</t>
  </si>
  <si>
    <t xml:space="preserve">act_018</t>
  </si>
  <si>
    <t xml:space="preserve">Jennifer Holliday</t>
  </si>
  <si>
    <t xml:space="preserve">grammy.com artist page failed to load (client_error), so used Wikipedia awards table plus body text (2 wins out of 4 nominations incl. BNA). Table gives award years 1982/1983/1985; body text places them at the 25th (1983) and 26th (1984) ceremonies and the Come Sunday win in 1986, so ceremony years 1983/1984/1986 used</t>
  </si>
  <si>
    <t xml:space="preserve">act_041</t>
  </si>
  <si>
    <t xml:space="preserve">Jody Watley</t>
  </si>
  <si>
    <t xml:space="preserve">grammy.com artist page for Jody Watley could not be found via search (direct URL not fetchable), so Wikipedia awards table used. It lists 1988 Best New Artist (won) and 1988 Best R&amp;B Vocal Performance, Female for "Looking for a New Love" (nominated); text says the BNA win remains her only Grammy win as of 2026. A 1983 nomination listed there is a Shalamar group nomination before her BNA ceremony, so excluded.</t>
  </si>
  <si>
    <t xml:space="preserve">act_030</t>
  </si>
  <si>
    <t xml:space="preserve">The Judds</t>
  </si>
  <si>
    <t xml:space="preserve">Only nominations credited to The Judds; Wynonna/Naomi solo or songwriter credits excluded.</t>
  </si>
  <si>
    <t xml:space="preserve">act_035</t>
  </si>
  <si>
    <t xml:space="preserve">Julian Lennon</t>
  </si>
  <si>
    <t xml:space="preserve">grammy.com lists only the Best New Artist nomination (1986); Wikipedia Julian Lennon page awards table agrees.</t>
  </si>
  <si>
    <t xml:space="preserve">act_034</t>
  </si>
  <si>
    <t xml:space="preserve">Katrina and the Waves</t>
  </si>
  <si>
    <t xml:space="preserve">grammy.com shows 1 nomination (Best New Artist, 28th, 1986), 0 wins.</t>
  </si>
  <si>
    <t xml:space="preserve">act_003</t>
  </si>
  <si>
    <t xml:space="preserve">The Knack</t>
  </si>
  <si>
    <t xml:space="preserve">grammy.com shows 0 wins, 2 nominations (22nd, 1980).</t>
  </si>
  <si>
    <t xml:space="preserve">act_015</t>
  </si>
  <si>
    <t xml:space="preserve">Luther Vandross</t>
  </si>
  <si>
    <t xml:space="preserve">Nomination list from grammy.com (33 entries incl. Best New Artist; page total 8 wins). grammy.com labels only the 2004 wins, so the other 4 wins (1991 Here and Now; 1992 Power of Love vocal; 1992 Power of Love/Love Power R&amp;B Song; 1997 Your Secret Love vocal) are taken from the Grammy table on https://en.wikipedia.org/wiki/Luther_Vandross, which matches the 8-win total. Songwriting nominations shared with co-writers are included as grammy.com credits them to him.</t>
  </si>
  <si>
    <t xml:space="preserve">act_016</t>
  </si>
  <si>
    <t xml:space="preserve">Men at Work</t>
  </si>
  <si>
    <t xml:space="preserve">grammy.com lists only one entry: Best New Artist 1983 (won); Colin Hay solo nominations excluded</t>
  </si>
  <si>
    <t xml:space="preserve">act_024</t>
  </si>
  <si>
    <t xml:space="preserve">Men Without Hats</t>
  </si>
  <si>
    <t xml:space="preserve">grammy.com shows 1 nomination (Best New Artist, 26th, 1984), 0 wins.</t>
  </si>
  <si>
    <t xml:space="preserve">act_025</t>
  </si>
  <si>
    <t xml:space="preserve">Musical Youth</t>
  </si>
  <si>
    <t xml:space="preserve">grammy.com shows only Best New Artist (26th, 1984); 0 wins, 1 nomination.</t>
  </si>
  <si>
    <t xml:space="preserve">act_051</t>
  </si>
  <si>
    <t xml:space="preserve">Neneh Cherry</t>
  </si>
  <si>
    <t xml:space="preserve">grammy.com lists 1 nomination (Best New Artist 1990), 0 wins. Wikipedia Neneh Cherry page calls "7 Seconds" her second Grammy nomination (no year or category given), but it is not on grammy.com or on the Wikipedia list of Senegalese Grammy nominees (Youssou N'Dour), so excluded as unverified</t>
  </si>
  <si>
    <t xml:space="preserve">act_038</t>
  </si>
  <si>
    <t xml:space="preserve">Nu Shooz</t>
  </si>
  <si>
    <t xml:space="preserve">act_010</t>
  </si>
  <si>
    <t xml:space="preserve">The Pretenders</t>
  </si>
  <si>
    <t xml:space="preserve">grammy.com Pretenders artist page (https://www.grammy.com/artists/pretenders/) failed to load; nominations taken from grammy.com member pages of Chrissie Hynde (3448) and Martin Chambers (8756), which list these entries credited to 'Pretenders' (both agree). Excluded Hynde's 1989 Best Reggae Recording nomination for 'Breakfast In Bed' (credited to UB40 and Chrissie Hynde, not the band).</t>
  </si>
  <si>
    <t xml:space="preserve">act_047</t>
  </si>
  <si>
    <t xml:space="preserve">Rick Astley</t>
  </si>
  <si>
    <t xml:space="preserve">grammy.com page (https://www.grammy.com/artists/rick-astley/) failed to open; Wikipedia awards list shows only Best New Artist 1989 (nominated)</t>
  </si>
  <si>
    <t xml:space="preserve">act_001</t>
  </si>
  <si>
    <t xml:space="preserve">Rickie Lee Jones</t>
  </si>
  <si>
    <t xml:space="preserve">grammy.com lists 8 entries (2 wins: Best New Artist 1980, Makin' Whoopee 1990).</t>
  </si>
  <si>
    <t xml:space="preserve">act_008</t>
  </si>
  <si>
    <t xml:space="preserve">Robbie Dupree</t>
  </si>
  <si>
    <t xml:space="preserve">grammy.com shows 1 nomination (Best New Artist 1981), 0 wins.</t>
  </si>
  <si>
    <t xml:space="preserve">act_031</t>
  </si>
  <si>
    <t xml:space="preserve">Sade</t>
  </si>
  <si>
    <t xml:space="preserve">grammy.com 'Sade' act page (8051): 9 entries, 4 wins, Best New Artist 1986 won. The 2002 Best Female Pop Vocal Performance ('By Your Side') is a female solo category but grammy.com credits it to 'Sade' on this act page, so it is kept; drop it if a strict group-only count is wanted. Excluded: 2026 Best Music Video nomination for 'Young Lion', which grammy.com credits to 'Sade Adu' (the singer, solo), per https://www.grammy.com/awards/categories/best-music-video/2026/ and https://www.grammy.com/artists/sade-adu/1247.</t>
  </si>
  <si>
    <t xml:space="preserve">act_011</t>
  </si>
  <si>
    <t xml:space="preserve">Sheena Easton</t>
  </si>
  <si>
    <t xml:space="preserve">act_027</t>
  </si>
  <si>
    <t xml:space="preserve">Sheila E.</t>
  </si>
  <si>
    <t xml:space="preserve">grammy.com shows 1 win, 6 nominations (27th 1985; 67th 2025).</t>
  </si>
  <si>
    <t xml:space="preserve">act_039</t>
  </si>
  <si>
    <t xml:space="preserve">Simply Red</t>
  </si>
  <si>
    <t xml:space="preserve">No standalone Simply Red page found on grammy.com; nominations taken from the grammy.com page of member Tony Bowers, where all three entries are credited to "Simply Red" (29th 1987: BNA + Holding Back The Years; 32nd 1990: If You Don't Know Me By Now). https://en.wikipedia.org/wiki/Simply_Red confirms three group nominations and no wins (the 1990 Best R&amp;B Song win for that song went to songwriters Gamble and Huff, not the band). Mick Hucknall solo not counted.</t>
  </si>
  <si>
    <t xml:space="preserve">act_053</t>
  </si>
  <si>
    <t xml:space="preserve">Soul II Soul</t>
  </si>
  <si>
    <t xml:space="preserve">grammy.com artist page (https://www.grammy.com/artists/soul-ii-soul/) failed to load twice; used the awards table on the Wikipedia band page. The 1993 (35th) Mood nomination in Best R&amp;B Instrumental Performance is confirmed on https://www.grammy.com/awards/categories/best-rb-instrumental-performance/1993/ . Wikipedia says the group has won two Grammys in total.</t>
  </si>
  <si>
    <t xml:space="preserve">act_020</t>
  </si>
  <si>
    <t xml:space="preserve">Stray Cats</t>
  </si>
  <si>
    <t xml:space="preserve">grammy.com lists a single entry: Best New Artist, 1983 (25th), nominated. 0 wins, 1 nomination.</t>
  </si>
  <si>
    <t xml:space="preserve">act_045</t>
  </si>
  <si>
    <t xml:space="preserve">Swing Out Sister</t>
  </si>
  <si>
    <t xml:space="preserve">act_049</t>
  </si>
  <si>
    <t xml:space="preserve">Take 6</t>
  </si>
  <si>
    <t xml:space="preserve">grammy.com lists 19 nominations / 8 wins; several entries had no status label on grammy.com, so won/nominated taken from Wikipedia Take 6 page (8 wins, consistent with grammy.com total).</t>
  </si>
  <si>
    <t xml:space="preserve">act_044</t>
  </si>
  <si>
    <t xml:space="preserve">Terence Trent D'Arby</t>
  </si>
  <si>
    <t xml:space="preserve">grammy.com shows 3 nominations / 1 win: 1988 Best New Artist (nominee), 1989 R&amp;B male vocal (winner), 1996 R&amp;B duo/group (nominee). Wikipedia Best Male R&amp;B Vocal Performance page confirms 1989 ceremony for the win.</t>
  </si>
  <si>
    <t xml:space="preserve">act_040</t>
  </si>
  <si>
    <t xml:space="preserve">Timbuk3</t>
  </si>
  <si>
    <t xml:space="preserve">grammy.com lists only the Best New Artist nomination (1987).</t>
  </si>
  <si>
    <t xml:space="preserve">act_054</t>
  </si>
  <si>
    <t xml:space="preserve">Tone Loc</t>
  </si>
  <si>
    <t xml:space="preserve">grammy.com lists 2 nominations, 0 wins (Best New Artist and Best Rap Performance, both 1990). Wikipedia also mentions a 1991 Best Rap Performance by a Duo or Group nomination for 'We're All in the Same Gang', but that was credited to the West Coast Rap All-Stars collective and is not on Tone Loc's grammy.com page, so it is excluded.</t>
  </si>
  <si>
    <t xml:space="preserve">act_048</t>
  </si>
  <si>
    <t xml:space="preserve">Toni Childs</t>
  </si>
  <si>
    <t xml:space="preserve">grammy.com shows 0 wins, 3 nominations (31st 1989; 38th 1996).</t>
  </si>
  <si>
    <t xml:space="preserve">act_046</t>
  </si>
  <si>
    <t xml:space="preserve">Tracy Chapman</t>
  </si>
  <si>
    <t xml:space="preserve">grammy.com shows 4 wins / 13 nominations but no result label for 1989 Album Of The Year and Best Contemporary Folk Recording. AOTY set to nominated because Wikipedia 31st Annual Grammy Awards page says AOTY went to George Michael for Faith. Folk Recording set to won: consistent with grammy.com total of 4 wins and confirmed by Wikipedia album page Tracy_Chapman_(album) Grammy table (folk category Won, Album of the Year Nominated). A 1989 Producer of the Year nomination on that page is credited to David Kershenbaum, not Chapman, so excluded</t>
  </si>
  <si>
    <t xml:space="preserve">act_050</t>
  </si>
  <si>
    <t xml:space="preserve">Vanessa Williams</t>
  </si>
  <si>
    <t xml:space="preserve">grammy.com lists 11 nominations, 0 wins</t>
  </si>
  <si>
    <t xml:space="preserve">event_id</t>
  </si>
  <si>
    <t xml:space="preserve">Album</t>
  </si>
  <si>
    <t xml:space="preserve">First release</t>
  </si>
  <si>
    <t xml:space="preserve">Release year</t>
  </si>
  <si>
    <t xml:space="preserve">Date used for ordering</t>
  </si>
  <si>
    <t xml:space="preserve">Released after the ceremony?</t>
  </si>
  <si>
    <t xml:space="preserve">Charted on the Billboard 200?</t>
  </si>
  <si>
    <t xml:space="preserve">RIAA units (millions)</t>
  </si>
  <si>
    <t xml:space="preserve">Source</t>
  </si>
  <si>
    <t xml:space="preserve">E001</t>
  </si>
  <si>
    <t xml:space="preserve">Hunting High and Low</t>
  </si>
  <si>
    <t xml:space="preserve">1985-06-01</t>
  </si>
  <si>
    <t xml:space="preserve">yes</t>
  </si>
  <si>
    <t xml:space="preserve">Platinum</t>
  </si>
  <si>
    <t xml:space="preserve">https://en.wikipedia.org/wiki/A-ha_discography</t>
  </si>
  <si>
    <t xml:space="preserve">E003</t>
  </si>
  <si>
    <t xml:space="preserve">Scoundrel Days</t>
  </si>
  <si>
    <t xml:space="preserve">1986-10-06</t>
  </si>
  <si>
    <t xml:space="preserve">E004</t>
  </si>
  <si>
    <t xml:space="preserve">Stay on These Roads</t>
  </si>
  <si>
    <t xml:space="preserve">1988-05-03</t>
  </si>
  <si>
    <t xml:space="preserve">E005</t>
  </si>
  <si>
    <t xml:space="preserve">East of the Sun, West of the Moon</t>
  </si>
  <si>
    <t xml:space="preserve">1990-10-22</t>
  </si>
  <si>
    <t xml:space="preserve">unknown</t>
  </si>
  <si>
    <t xml:space="preserve">US dash in discography (did not chart or not released); album page gives no US release info; Memorial Beach page calls Memorial Beach (1993) the band's last US release, which implies but does not state a US release for this one</t>
  </si>
  <si>
    <t xml:space="preserve">E006</t>
  </si>
  <si>
    <t xml:space="preserve">Memorial Beach</t>
  </si>
  <si>
    <t xml:space="preserve">1993-06-14</t>
  </si>
  <si>
    <t xml:space="preserve">https://en.wikipedia.org/wiki/Memorial_Beach</t>
  </si>
  <si>
    <t xml:space="preserve">US dash in discography; album page says it did not chart on the Billboard 200 and was the band's last album released in the US</t>
  </si>
  <si>
    <t xml:space="preserve">E009</t>
  </si>
  <si>
    <t xml:space="preserve">Minor Earth Major Sky</t>
  </si>
  <si>
    <t xml:space="preserve">2000-04-14</t>
  </si>
  <si>
    <t xml:space="preserve">no</t>
  </si>
  <si>
    <t xml:space="preserve">https://en.wikipedia.org/wiki/Minor_Earth_Major_Sky</t>
  </si>
  <si>
    <t xml:space="preserve">Album page states it was not released in the U.S.; no Billboard 200 peak or RIAA cert</t>
  </si>
  <si>
    <t xml:space="preserve">E010</t>
  </si>
  <si>
    <t xml:space="preserve">Lifelines</t>
  </si>
  <si>
    <t xml:space="preserve">2002-04-24</t>
  </si>
  <si>
    <t xml:space="preserve">US dash in discography; album page (https://en.wikipedia.org/wiki/Lifelines_(A-ha_album)) gives no US release, Billboard 200 or RIAA info. Memorial Beach page says Memorial Beach (1993) was the band's last album released in the US, suggesting no US release, but this album's own page does not say so</t>
  </si>
  <si>
    <t xml:space="preserve">E011</t>
  </si>
  <si>
    <t xml:space="preserve">Analogue</t>
  </si>
  <si>
    <t xml:space="preserve">2005-11-04</t>
  </si>
  <si>
    <t xml:space="preserve">US dash in discography; album page (https://en.wikipedia.org/wiki/Analogue_(album)) gives no US release, Billboard 200 or RIAA info. Memorial Beach page says Memorial Beach (1993) was the band's last album released in the US, suggesting no US release, but this album's own page does not say so</t>
  </si>
  <si>
    <t xml:space="preserve">E012</t>
  </si>
  <si>
    <t xml:space="preserve">Foot of the Mountain</t>
  </si>
  <si>
    <t xml:space="preserve">2009-06-12</t>
  </si>
  <si>
    <t xml:space="preserve">US dash in discography; album page (https://en.wikipedia.org/wiki/Foot_of_the_Mountain) gives no US release, Billboard 200 or RIAA info. Memorial Beach page says Memorial Beach (1993) was the band's last album released in the US, suggesting no US release, but this album's own page does not say so</t>
  </si>
  <si>
    <t xml:space="preserve">E015</t>
  </si>
  <si>
    <t xml:space="preserve">Cast in Steel</t>
  </si>
  <si>
    <t xml:space="preserve">2015-09-04</t>
  </si>
  <si>
    <t xml:space="preserve">US dash in discography; album page (https://en.wikipedia.org/wiki/Cast_in_Steel) gives no US release, Billboard 200 or RIAA info. Memorial Beach page says Memorial Beach (1993) was the band's last album released in the US, suggesting no US release, but this album's own page does not say so</t>
  </si>
  <si>
    <t xml:space="preserve">E016</t>
  </si>
  <si>
    <t xml:space="preserve">True North</t>
  </si>
  <si>
    <t xml:space="preserve">2022-10-21</t>
  </si>
  <si>
    <t xml:space="preserve">US dash in discography; album page (https://en.wikipedia.org/wiki/True_North_(A-ha_album)) gives no US release, Billboard 200 or RIAA info. Memorial Beach page says Memorial Beach (1993) was the band's last album released in the US, suggesting no US release, but this album's own page does not say so</t>
  </si>
  <si>
    <t xml:space="preserve">E017</t>
  </si>
  <si>
    <t xml:space="preserve">Dirk Wears White Sox</t>
  </si>
  <si>
    <t xml:space="preserve">1979-11-30</t>
  </si>
  <si>
    <t xml:space="preserve">https://en.wikipedia.org/wiki/Dirk_Wears_White_Sox</t>
  </si>
  <si>
    <t xml:space="preserve">No US chart position or RIAA cert on discography (US column dash) or album page; album page states it was reissued in the United States in 1983</t>
  </si>
  <si>
    <t xml:space="preserve">E018</t>
  </si>
  <si>
    <t xml:space="preserve">Kings of the Wild Frontier</t>
  </si>
  <si>
    <t xml:space="preserve">1980-11-07</t>
  </si>
  <si>
    <t xml:space="preserve">Gold</t>
  </si>
  <si>
    <t xml:space="preserve">https://en.wikipedia.org/wiki/Adam_Ant_discography</t>
  </si>
  <si>
    <t xml:space="preserve">Peak 44 and RIAA Gold confirmed on album page https://en.wikipedia.org/wiki/Kings_of_the_Wild_Frontier</t>
  </si>
  <si>
    <t xml:space="preserve">E019</t>
  </si>
  <si>
    <t xml:space="preserve">Prince Charming</t>
  </si>
  <si>
    <t xml:space="preserve">1981-11-06</t>
  </si>
  <si>
    <t xml:space="preserve">Peak 94 confirmed on album page https://en.wikipedia.org/wiki/Prince_Charming_(album); no certifications table there</t>
  </si>
  <si>
    <t xml:space="preserve">E022</t>
  </si>
  <si>
    <t xml:space="preserve">1980</t>
  </si>
  <si>
    <t xml:space="preserve">https://en.wikipedia.org/wiki/Amy_Holland</t>
  </si>
  <si>
    <t xml:space="preserve">Artist page discography line reads "Amy Holland (Capitol, 1980) U.S. #146" with no chart named and no citation; album page has no charts table. Taken as Billboard 200 (Top LPs &amp; Tape) since 146 exceeds the length of US genre album charts of the time, but could not be confirmed on Billboard (site not reachable). Treat as moderately uncertain.</t>
  </si>
  <si>
    <t xml:space="preserve">E024</t>
  </si>
  <si>
    <t xml:space="preserve">On Your Every Word</t>
  </si>
  <si>
    <t xml:space="preserve">1983</t>
  </si>
  <si>
    <t xml:space="preserve">https://en.wikipedia.org/wiki/On_Your_Every_Word</t>
  </si>
  <si>
    <t xml:space="preserve">No US chart position or RIAA certification given on artist page or album page (Capitol Records, 1983); no explicit statement of US release, so left unknown. Artist page discography gives no chart figure for it, so treated as not charting (null).</t>
  </si>
  <si>
    <t xml:space="preserve">E025</t>
  </si>
  <si>
    <t xml:space="preserve">The Journey to Miracle River</t>
  </si>
  <si>
    <t xml:space="preserve">2008-09-15</t>
  </si>
  <si>
    <t xml:space="preserve">https://en.wikipedia.org/wiki/The_Journey_to_Miracle_River</t>
  </si>
  <si>
    <t xml:space="preserve">No US chart position or RIAA certification on artist or album page (Chonin Records, 15 Sep 2008); no statement about US release.</t>
  </si>
  <si>
    <t xml:space="preserve">E026</t>
  </si>
  <si>
    <t xml:space="preserve">Light on My Path</t>
  </si>
  <si>
    <t xml:space="preserve">2016-05-23</t>
  </si>
  <si>
    <t xml:space="preserve">No US chart position or RIAA certification on artist page (Chonin, 2016); no statement about US release.</t>
  </si>
  <si>
    <t xml:space="preserve">E027</t>
  </si>
  <si>
    <t xml:space="preserve">1982-03-18</t>
  </si>
  <si>
    <t xml:space="preserve">4× Platinum</t>
  </si>
  <si>
    <t xml:space="preserve">https://en.wikipedia.org/wiki/Asia_discography</t>
  </si>
  <si>
    <t xml:space="preserve">E029</t>
  </si>
  <si>
    <t xml:space="preserve">Alpha</t>
  </si>
  <si>
    <t xml:space="preserve">1983-08-12</t>
  </si>
  <si>
    <t xml:space="preserve">E030</t>
  </si>
  <si>
    <t xml:space="preserve">Astra</t>
  </si>
  <si>
    <t xml:space="preserve">1985-11-11</t>
  </si>
  <si>
    <t xml:space="preserve">E033</t>
  </si>
  <si>
    <t xml:space="preserve">Aqua</t>
  </si>
  <si>
    <t xml:space="preserve">1992-06-08</t>
  </si>
  <si>
    <t xml:space="preserve">https://en.wikipedia.org/wiki/Aqua_(Asia_album)</t>
  </si>
  <si>
    <t xml:space="preserve">Dash in US column of discography; album page: released 15 September 1992 in the United States by Great Pyramid Records.</t>
  </si>
  <si>
    <t xml:space="preserve">E034</t>
  </si>
  <si>
    <t xml:space="preserve">Aria</t>
  </si>
  <si>
    <t xml:space="preserve">1994-06-13</t>
  </si>
  <si>
    <t xml:space="preserve">https://en.wikipedia.org/wiki/Aria_(Asia_album)</t>
  </si>
  <si>
    <t xml:space="preserve">Dash in US column of discography; album page: released in 1995 in the United States by Mayhem Recordings.</t>
  </si>
  <si>
    <t xml:space="preserve">E035</t>
  </si>
  <si>
    <t xml:space="preserve">Arena</t>
  </si>
  <si>
    <t xml:space="preserve">1996-03-11</t>
  </si>
  <si>
    <t xml:space="preserve">https://en.wikipedia.org/wiki/Arena_(Asia_album)</t>
  </si>
  <si>
    <t xml:space="preserve">Dash in US column of discography; album page names only Bullet Proof (UK) and reissue labels; band page says it was released on Resurgence Records. No statement on a US release.</t>
  </si>
  <si>
    <t xml:space="preserve">E036</t>
  </si>
  <si>
    <t xml:space="preserve">Aura</t>
  </si>
  <si>
    <t xml:space="preserve">2001-01-31</t>
  </si>
  <si>
    <t xml:space="preserve">https://en.wikipedia.org/wiki/Aura_(Asia_album)</t>
  </si>
  <si>
    <t xml:space="preserve">Dash in US column of discography; album page: in the United States the album was issued by Windstorm Records.</t>
  </si>
  <si>
    <t xml:space="preserve">E037</t>
  </si>
  <si>
    <t xml:space="preserve">Silent Nation</t>
  </si>
  <si>
    <t xml:space="preserve">2004-08-31</t>
  </si>
  <si>
    <t xml:space="preserve">https://en.wikipedia.org/wiki/Silent_Nation</t>
  </si>
  <si>
    <t xml:space="preserve">Dash in US column of discography; album page gives Inside Out Music and Japan (Victor) releases only, no statement on US release.</t>
  </si>
  <si>
    <t xml:space="preserve">E038</t>
  </si>
  <si>
    <t xml:space="preserve">Phoenix</t>
  </si>
  <si>
    <t xml:space="preserve">2008-04-11</t>
  </si>
  <si>
    <t xml:space="preserve">E039</t>
  </si>
  <si>
    <t xml:space="preserve">Omega</t>
  </si>
  <si>
    <t xml:space="preserve">2010-04-21</t>
  </si>
  <si>
    <t xml:space="preserve">https://en.wikipedia.org/wiki/Omega_(Asia_album)</t>
  </si>
  <si>
    <t xml:space="preserve">Dash in US column of discography; album page gives Japan (21 April 2010) and Europe (23 April 2010) releases and says it failed to chart in the UK and US, but does not state a US release.</t>
  </si>
  <si>
    <t xml:space="preserve">E040</t>
  </si>
  <si>
    <t xml:space="preserve">XXX</t>
  </si>
  <si>
    <t xml:space="preserve">2012-06-20</t>
  </si>
  <si>
    <t xml:space="preserve">E041</t>
  </si>
  <si>
    <t xml:space="preserve">Gravitas</t>
  </si>
  <si>
    <t xml:space="preserve">2014-03-21</t>
  </si>
  <si>
    <t xml:space="preserve">E042</t>
  </si>
  <si>
    <t xml:space="preserve">The Crossing</t>
  </si>
  <si>
    <t xml:space="preserve">1983-07-29</t>
  </si>
  <si>
    <t xml:space="preserve">https://en.wikipedia.org/wiki/Big_Country_discography</t>
  </si>
  <si>
    <t xml:space="preserve">E044</t>
  </si>
  <si>
    <t xml:space="preserve">Steeltown</t>
  </si>
  <si>
    <t xml:space="preserve">1984-10-19</t>
  </si>
  <si>
    <t xml:space="preserve">E045</t>
  </si>
  <si>
    <t xml:space="preserve">The Seer</t>
  </si>
  <si>
    <t xml:space="preserve">1986-06-30</t>
  </si>
  <si>
    <t xml:space="preserve">E046</t>
  </si>
  <si>
    <t xml:space="preserve">Peace in Our Time</t>
  </si>
  <si>
    <t xml:space="preserve">1988-09-26</t>
  </si>
  <si>
    <t xml:space="preserve">E047</t>
  </si>
  <si>
    <t xml:space="preserve">No Place Like Home</t>
  </si>
  <si>
    <t xml:space="preserve">1991-09-16</t>
  </si>
  <si>
    <t xml:space="preserve">US dash in discography; album page gives no US release info (Vertigo, UK); not determinable</t>
  </si>
  <si>
    <t xml:space="preserve">E048</t>
  </si>
  <si>
    <t xml:space="preserve">The Buffalo Skinners</t>
  </si>
  <si>
    <t xml:space="preserve">1993-03-22</t>
  </si>
  <si>
    <t xml:space="preserve">https://en.wikipedia.org/wiki/The_Buffalo_Skinners</t>
  </si>
  <si>
    <t xml:space="preserve">Discography US dash (no Billboard 200 peak); album page lists US label Compulsion/Fox; charted only on Radio &amp; Records AOR/New Rock charts (not Billboard 200); no RIAA cert</t>
  </si>
  <si>
    <t xml:space="preserve">E049</t>
  </si>
  <si>
    <t xml:space="preserve">Why the Long Face</t>
  </si>
  <si>
    <t xml:space="preserve">1995-06-12</t>
  </si>
  <si>
    <t xml:space="preserve">https://en.wikipedia.org/wiki/Why_the_Long_Face_(album)</t>
  </si>
  <si>
    <t xml:space="preserve">Discography US dash (no Billboard 200 peak); album page lists US label Pure and a US CD release; no RIAA cert</t>
  </si>
  <si>
    <t xml:space="preserve">E050</t>
  </si>
  <si>
    <t xml:space="preserve">Driving to Damascus</t>
  </si>
  <si>
    <t xml:space="preserve">1999-08-23</t>
  </si>
  <si>
    <t xml:space="preserve">US dash in discography (did not chart or not released); no RIAA cert; US release status not checked (time limit)</t>
  </si>
  <si>
    <t xml:space="preserve">E055</t>
  </si>
  <si>
    <t xml:space="preserve">The Journey</t>
  </si>
  <si>
    <t xml:space="preserve">2013-04-08</t>
  </si>
  <si>
    <t xml:space="preserve">E056</t>
  </si>
  <si>
    <t xml:space="preserve">1987</t>
  </si>
  <si>
    <t xml:space="preserve">https://en.wikipedia.org/wiki/Breakfast_Club_(band)</t>
  </si>
  <si>
    <t xml:space="preserve">Band page chart table gives US 43 (the US albums chart column; page does not name the chart). No RIAA certification mentioned. Released on MCA.</t>
  </si>
  <si>
    <t xml:space="preserve">E060</t>
  </si>
  <si>
    <t xml:space="preserve">The Way It Is</t>
  </si>
  <si>
    <t xml:space="preserve">1986-04</t>
  </si>
  <si>
    <t xml:space="preserve">3× Platinum</t>
  </si>
  <si>
    <t xml:space="preserve">https://en.wikipedia.org/wiki/Bruce_Hornsby_discography</t>
  </si>
  <si>
    <t xml:space="preserve">E063</t>
  </si>
  <si>
    <t xml:space="preserve">Scenes from the Southside</t>
  </si>
  <si>
    <t xml:space="preserve">E064</t>
  </si>
  <si>
    <t xml:space="preserve">A Night on the Town</t>
  </si>
  <si>
    <t xml:space="preserve">1990-05-25</t>
  </si>
  <si>
    <t xml:space="preserve">E066</t>
  </si>
  <si>
    <t xml:space="preserve">1979-12-27</t>
  </si>
  <si>
    <t xml:space="preserve">5× Platinum</t>
  </si>
  <si>
    <t xml:space="preserve">https://en.wikipedia.org/wiki/Christopher_Cross</t>
  </si>
  <si>
    <t xml:space="preserve">Christopher_Cross_discography page not reachable; values from discography table on main Christopher Cross article</t>
  </si>
  <si>
    <t xml:space="preserve">E069</t>
  </si>
  <si>
    <t xml:space="preserve">Another Page</t>
  </si>
  <si>
    <t xml:space="preserve">1983-01-31</t>
  </si>
  <si>
    <t xml:space="preserve">E070</t>
  </si>
  <si>
    <t xml:space="preserve">Every Turn of the World</t>
  </si>
  <si>
    <t xml:space="preserve">1985-11-04</t>
  </si>
  <si>
    <t xml:space="preserve">E071</t>
  </si>
  <si>
    <t xml:space="preserve">Back of My Mind</t>
  </si>
  <si>
    <t xml:space="preserve">1988-08-23</t>
  </si>
  <si>
    <t xml:space="preserve">Christopher_Cross_discography page not reachable; values from discography table on main Christopher Cross article; US column shows a dash; album page (https://en.wikipedia.org/wiki/Back_of_My_Mind_(Christopher_Cross_album)) says "Both the album and its singles failed to chart in the United States" (Reprise Records), taken as implying a US release</t>
  </si>
  <si>
    <t xml:space="preserve">E072</t>
  </si>
  <si>
    <t xml:space="preserve">Rendezvous</t>
  </si>
  <si>
    <t xml:space="preserve">1992</t>
  </si>
  <si>
    <t xml:space="preserve">Christopher_Cross_discography page not reachable; values from discography table on main Christopher Cross article; US column dash; article lists it as "Rendezvous (Germany &amp; Japan only)"</t>
  </si>
  <si>
    <t xml:space="preserve">E073</t>
  </si>
  <si>
    <t xml:space="preserve">Window</t>
  </si>
  <si>
    <t xml:space="preserve">1994-08-25</t>
  </si>
  <si>
    <t xml:space="preserve">Christopher_Cross_discography page not reachable; values from discography table on main Christopher Cross article; US column dash; article lists it as "Window (Germany, Japan &amp; US only)"</t>
  </si>
  <si>
    <t xml:space="preserve">E074</t>
  </si>
  <si>
    <t xml:space="preserve">Walking in Avalon</t>
  </si>
  <si>
    <t xml:space="preserve">1998-09-07</t>
  </si>
  <si>
    <t xml:space="preserve">Christopher_Cross_discography page not reachable; values from discography table on main Christopher Cross article; US column shows a dash; album page lists labels CMC International and Ariola but no statement on US release or chart</t>
  </si>
  <si>
    <t xml:space="preserve">E075</t>
  </si>
  <si>
    <t xml:space="preserve">A Christopher Cross Christmas</t>
  </si>
  <si>
    <t xml:space="preserve">2007</t>
  </si>
  <si>
    <t xml:space="preserve">Christopher_Cross_discography page not reachable; values from discography table on main Christopher Cross article; US column shows a dash; no Wikipedia album page found and no source seen stating US release</t>
  </si>
  <si>
    <t xml:space="preserve">E076</t>
  </si>
  <si>
    <t xml:space="preserve">Doctor Faith</t>
  </si>
  <si>
    <t xml:space="preserve">2011</t>
  </si>
  <si>
    <t xml:space="preserve">E077</t>
  </si>
  <si>
    <t xml:space="preserve">Secret Ladder</t>
  </si>
  <si>
    <t xml:space="preserve">2014</t>
  </si>
  <si>
    <t xml:space="preserve">E078</t>
  </si>
  <si>
    <t xml:space="preserve">Take Me As I Am</t>
  </si>
  <si>
    <t xml:space="preserve">2017</t>
  </si>
  <si>
    <t xml:space="preserve">E079</t>
  </si>
  <si>
    <t xml:space="preserve">First Offense</t>
  </si>
  <si>
    <t xml:space="preserve">1983-11-11</t>
  </si>
  <si>
    <t xml:space="preserve">https://en.wikipedia.org/wiki/Corey_Hart_discography</t>
  </si>
  <si>
    <t xml:space="preserve">E081</t>
  </si>
  <si>
    <t xml:space="preserve">Boy in the Box</t>
  </si>
  <si>
    <t xml:space="preserve">1985-06-14</t>
  </si>
  <si>
    <t xml:space="preserve">E082</t>
  </si>
  <si>
    <t xml:space="preserve">Fields of Fire</t>
  </si>
  <si>
    <t xml:space="preserve">1986-09-16</t>
  </si>
  <si>
    <t xml:space="preserve">E083</t>
  </si>
  <si>
    <t xml:space="preserve">Young Man Running</t>
  </si>
  <si>
    <t xml:space="preserve">1988-06-23</t>
  </si>
  <si>
    <t xml:space="preserve">E084</t>
  </si>
  <si>
    <t xml:space="preserve">Bang!</t>
  </si>
  <si>
    <t xml:space="preserve">1990-03</t>
  </si>
  <si>
    <t xml:space="preserve">E085</t>
  </si>
  <si>
    <t xml:space="preserve">Attitude &amp; Virtue</t>
  </si>
  <si>
    <t xml:space="preserve">1992-04-25</t>
  </si>
  <si>
    <t xml:space="preserve">https://en.wikipedia.org/wiki/Attitude_%26_Virtue</t>
  </si>
  <si>
    <t xml:space="preserve">Dash in US column of discography; album page: Sire Records, released in Japan 25 April and Canada 28 April 1992; no statement on a US release.</t>
  </si>
  <si>
    <t xml:space="preserve">E086</t>
  </si>
  <si>
    <t xml:space="preserve">1996-10-15</t>
  </si>
  <si>
    <t xml:space="preserve">https://en.wikipedia.org/wiki/Corey_Hart_(album)</t>
  </si>
  <si>
    <t xml:space="preserve">Dash in US column of discography; album page (Columbia, 15 October 1996) names no release territories, only Canadian chart singles.</t>
  </si>
  <si>
    <t xml:space="preserve">E087</t>
  </si>
  <si>
    <t xml:space="preserve">Jade</t>
  </si>
  <si>
    <t xml:space="preserve">1998-10</t>
  </si>
  <si>
    <t xml:space="preserve">https://en.wikipedia.org/wiki/Jade_(Corey_Hart_album)</t>
  </si>
  <si>
    <t xml:space="preserve">Dash in US column of discography; album page (Columbia, 1998) names no release territories.</t>
  </si>
  <si>
    <t xml:space="preserve">E088</t>
  </si>
  <si>
    <t xml:space="preserve">Kissing to Be Clever</t>
  </si>
  <si>
    <t xml:space="preserve">1982-10-08</t>
  </si>
  <si>
    <t xml:space="preserve">https://en.wikipedia.org/wiki/Culture_Club_discography</t>
  </si>
  <si>
    <t xml:space="preserve">E089</t>
  </si>
  <si>
    <t xml:space="preserve">Colour by Numbers</t>
  </si>
  <si>
    <t xml:space="preserve">1983-10-10</t>
  </si>
  <si>
    <t xml:space="preserve">E092</t>
  </si>
  <si>
    <t xml:space="preserve">Waking Up with the House on Fire</t>
  </si>
  <si>
    <t xml:space="preserve">1984-10-22</t>
  </si>
  <si>
    <t xml:space="preserve">E094</t>
  </si>
  <si>
    <t xml:space="preserve">From Luxury to Heartache</t>
  </si>
  <si>
    <t xml:space="preserve">1986-04-01</t>
  </si>
  <si>
    <t xml:space="preserve">E096</t>
  </si>
  <si>
    <t xml:space="preserve">Don't Mind If I Do</t>
  </si>
  <si>
    <t xml:space="preserve">1999-11-22</t>
  </si>
  <si>
    <t xml:space="preserve">US column dash in discography (did not chart); no RIAA cert. Album page https://en.wikipedia.org/wiki/Don%27t_Mind_If_I_Do_(Culture_Club_album) says it 'was released only in Europe and Japan'.</t>
  </si>
  <si>
    <t xml:space="preserve">E099</t>
  </si>
  <si>
    <t xml:space="preserve">Life</t>
  </si>
  <si>
    <t xml:space="preserve">2018-10-26</t>
  </si>
  <si>
    <t xml:space="preserve">US column dash in discography (did not chart); no RIAA cert; album page (Life (Boy George and Culture Club album)) charts table has no US entry and does not state a US release (label BMG); credited as Boy George and Culture Club</t>
  </si>
  <si>
    <t xml:space="preserve">E100</t>
  </si>
  <si>
    <t xml:space="preserve">Broadcast</t>
  </si>
  <si>
    <t xml:space="preserve">1986-11</t>
  </si>
  <si>
    <t xml:space="preserve">https://en.wikipedia.org/wiki/Cutting_Crew</t>
  </si>
  <si>
    <t xml:space="preserve">E102</t>
  </si>
  <si>
    <t xml:space="preserve">The Scattering</t>
  </si>
  <si>
    <t xml:space="preserve">1989-05-16</t>
  </si>
  <si>
    <t xml:space="preserve">E103</t>
  </si>
  <si>
    <t xml:space="preserve">Compus Mentus</t>
  </si>
  <si>
    <t xml:space="preserve">1992-08-03</t>
  </si>
  <si>
    <t xml:space="preserve">US column shows dash; Cutting Crew page gives label/date but no territory or US release statement</t>
  </si>
  <si>
    <t xml:space="preserve">E105</t>
  </si>
  <si>
    <t xml:space="preserve">Grinning Souls</t>
  </si>
  <si>
    <t xml:space="preserve">2006-03-06</t>
  </si>
  <si>
    <t xml:space="preserve">E106</t>
  </si>
  <si>
    <t xml:space="preserve">Add to Favourites</t>
  </si>
  <si>
    <t xml:space="preserve">2015-10-02</t>
  </si>
  <si>
    <t xml:space="preserve">E107</t>
  </si>
  <si>
    <t xml:space="preserve">She's So Unusual</t>
  </si>
  <si>
    <t xml:space="preserve">1983-10</t>
  </si>
  <si>
    <t xml:space="preserve">7× Platinum</t>
  </si>
  <si>
    <t xml:space="preserve">https://en.wikipedia.org/wiki/Cyndi_Lauper_discography</t>
  </si>
  <si>
    <t xml:space="preserve">Album page (https://en.wikipedia.org/wiki/She%27s_So_Unusual) confirms Billboard 200 peak 4 and RIAA 7× Platinum.</t>
  </si>
  <si>
    <t xml:space="preserve">E110</t>
  </si>
  <si>
    <t xml:space="preserve">True Colors</t>
  </si>
  <si>
    <t xml:space="preserve">1986-09-15</t>
  </si>
  <si>
    <t xml:space="preserve">2× Platinum</t>
  </si>
  <si>
    <t xml:space="preserve">Album page confirms Billboard 200 peak 4 and RIAA 2× Platinum.</t>
  </si>
  <si>
    <t xml:space="preserve">E111</t>
  </si>
  <si>
    <t xml:space="preserve">A Night to Remember</t>
  </si>
  <si>
    <t xml:space="preserve">1989-05</t>
  </si>
  <si>
    <t xml:space="preserve">Album page (https://en.wikipedia.org/wiki/A_Night_to_Remember_(Cyndi_Lauper_album)) confirms Billboard 200 peak 37; its US certification row shows no RIAA level (500,000 sales), though the text says Lauper's website calls it gold in the US. Left blank as no RIAA certification is listed.</t>
  </si>
  <si>
    <t xml:space="preserve">E112</t>
  </si>
  <si>
    <t xml:space="preserve">Hat Full of Stars</t>
  </si>
  <si>
    <t xml:space="preserve">1993-06-30</t>
  </si>
  <si>
    <t xml:space="preserve">E113</t>
  </si>
  <si>
    <t xml:space="preserve">Sisters of Avalon</t>
  </si>
  <si>
    <t xml:space="preserve">1996-10-16</t>
  </si>
  <si>
    <t xml:space="preserve">E114</t>
  </si>
  <si>
    <t xml:space="preserve">Merry Christmas ... Have a Nice Life</t>
  </si>
  <si>
    <t xml:space="preserve">1998-10-27</t>
  </si>
  <si>
    <t xml:space="preserve">https://en.wikipedia.org/wiki/Merry_Christmas_..._Have_a_Nice_Life</t>
  </si>
  <si>
    <t xml:space="preserve">Dash in US column of discography; album page release table: United States 27 October 1998, Epic (EK 69611). No US chart or RIAA certification listed.</t>
  </si>
  <si>
    <t xml:space="preserve">E115</t>
  </si>
  <si>
    <t xml:space="preserve">At Last</t>
  </si>
  <si>
    <t xml:space="preserve">2003-11-18</t>
  </si>
  <si>
    <t xml:space="preserve">E116</t>
  </si>
  <si>
    <t xml:space="preserve">Shine</t>
  </si>
  <si>
    <t xml:space="preserve">2004-05-03</t>
  </si>
  <si>
    <t xml:space="preserve">https://en.wikipedia.org/wiki/Shine_(Cyndi_Lauper_album)</t>
  </si>
  <si>
    <t xml:space="preserve">Album page: released exclusively in Japan (Epic, 2004); the US got only a five-track EP (Oglio, 16 July 2002) that reached US Top Independent Albums 42, not the Billboard 200.</t>
  </si>
  <si>
    <t xml:space="preserve">E117</t>
  </si>
  <si>
    <t xml:space="preserve">Bring Ya to the Brink</t>
  </si>
  <si>
    <t xml:space="preserve">2008-05-27</t>
  </si>
  <si>
    <t xml:space="preserve">E118</t>
  </si>
  <si>
    <t xml:space="preserve">Memphis Blues</t>
  </si>
  <si>
    <t xml:space="preserve">2010-06-22</t>
  </si>
  <si>
    <t xml:space="preserve">E119</t>
  </si>
  <si>
    <t xml:space="preserve">Detour</t>
  </si>
  <si>
    <t xml:space="preserve">2016-05-02</t>
  </si>
  <si>
    <t xml:space="preserve">E120</t>
  </si>
  <si>
    <t xml:space="preserve">1978-06-09</t>
  </si>
  <si>
    <t xml:space="preserve">https://en.wikipedia.org/wiki/Dire_Straits_discography</t>
  </si>
  <si>
    <t xml:space="preserve">E121</t>
  </si>
  <si>
    <t xml:space="preserve">Communiqué</t>
  </si>
  <si>
    <t xml:space="preserve">1979-06-05</t>
  </si>
  <si>
    <t xml:space="preserve">E123</t>
  </si>
  <si>
    <t xml:space="preserve">Making Movies</t>
  </si>
  <si>
    <t xml:space="preserve">1980-10-17</t>
  </si>
  <si>
    <t xml:space="preserve">E124</t>
  </si>
  <si>
    <t xml:space="preserve">Love over Gold</t>
  </si>
  <si>
    <t xml:space="preserve">1982-09-24</t>
  </si>
  <si>
    <t xml:space="preserve">E125</t>
  </si>
  <si>
    <t xml:space="preserve">Brothers in Arms</t>
  </si>
  <si>
    <t xml:space="preserve">1985-05-17</t>
  </si>
  <si>
    <t xml:space="preserve">9× Platinum</t>
  </si>
  <si>
    <t xml:space="preserve">E128</t>
  </si>
  <si>
    <t xml:space="preserve">On Every Street</t>
  </si>
  <si>
    <t xml:space="preserve">1991-09-09</t>
  </si>
  <si>
    <t xml:space="preserve">E130</t>
  </si>
  <si>
    <t xml:space="preserve">In the Garden</t>
  </si>
  <si>
    <t xml:space="preserve">1981-10-16</t>
  </si>
  <si>
    <t xml:space="preserve">https://en.wikipedia.org/wiki/Eurythmics_discography</t>
  </si>
  <si>
    <t xml:space="preserve">US column shows a dash (table key: did not chart or not released in that territory); no RIAA certification; album page (https://en.wikipedia.org/wiki/In_the_Garden_(Eurythmics_album)) only says released 16 Oct 1981 by RCA and quotes a critic that it "failed to chart anywhere", with no statement on US release</t>
  </si>
  <si>
    <t xml:space="preserve">E131</t>
  </si>
  <si>
    <t xml:space="preserve">Sweet Dreams (Are Made of This)</t>
  </si>
  <si>
    <t xml:space="preserve">1983-01-04</t>
  </si>
  <si>
    <t xml:space="preserve">E132</t>
  </si>
  <si>
    <t xml:space="preserve">Touch</t>
  </si>
  <si>
    <t xml:space="preserve">1983-11-14</t>
  </si>
  <si>
    <t xml:space="preserve">E134</t>
  </si>
  <si>
    <t xml:space="preserve">Be Yourself Tonight</t>
  </si>
  <si>
    <t xml:space="preserve">1985-04</t>
  </si>
  <si>
    <t xml:space="preserve">E135</t>
  </si>
  <si>
    <t xml:space="preserve">Revenge</t>
  </si>
  <si>
    <t xml:space="preserve">E136</t>
  </si>
  <si>
    <t xml:space="preserve">Savage</t>
  </si>
  <si>
    <t xml:space="preserve">1987-11-09</t>
  </si>
  <si>
    <t xml:space="preserve">E137</t>
  </si>
  <si>
    <t xml:space="preserve">We Too Are One</t>
  </si>
  <si>
    <t xml:space="preserve">1989-09-11</t>
  </si>
  <si>
    <t xml:space="preserve">E140</t>
  </si>
  <si>
    <t xml:space="preserve">Peace</t>
  </si>
  <si>
    <t xml:space="preserve">1999-10-18</t>
  </si>
  <si>
    <t xml:space="preserve">E141</t>
  </si>
  <si>
    <t xml:space="preserve">Welcome to the Pleasuredome</t>
  </si>
  <si>
    <t xml:space="preserve">1984-10-29</t>
  </si>
  <si>
    <t xml:space="preserve">https://en.wikipedia.org/wiki/Frankie_Goes_to_Hollywood_discography</t>
  </si>
  <si>
    <t xml:space="preserve">E143</t>
  </si>
  <si>
    <t xml:space="preserve">Liverpool</t>
  </si>
  <si>
    <t xml:space="preserve">1986-10-20</t>
  </si>
  <si>
    <t xml:space="preserve">E147</t>
  </si>
  <si>
    <t xml:space="preserve">Rock Me Tonight</t>
  </si>
  <si>
    <t xml:space="preserve">1985-04-28</t>
  </si>
  <si>
    <t xml:space="preserve">https://en.wikipedia.org/wiki/Freddie_Jackson_discography</t>
  </si>
  <si>
    <t xml:space="preserve">E149</t>
  </si>
  <si>
    <t xml:space="preserve">Just Like the First Time</t>
  </si>
  <si>
    <t xml:space="preserve">1986-11-06</t>
  </si>
  <si>
    <t xml:space="preserve">E150</t>
  </si>
  <si>
    <t xml:space="preserve">Don't Let Love Slip Away</t>
  </si>
  <si>
    <t xml:space="preserve">1988-07-29</t>
  </si>
  <si>
    <t xml:space="preserve">E151</t>
  </si>
  <si>
    <t xml:space="preserve">Do Me Again</t>
  </si>
  <si>
    <t xml:space="preserve">1990-10-29</t>
  </si>
  <si>
    <t xml:space="preserve">E152</t>
  </si>
  <si>
    <t xml:space="preserve">Time for Love</t>
  </si>
  <si>
    <t xml:space="preserve">E153</t>
  </si>
  <si>
    <t xml:space="preserve">Here It Is</t>
  </si>
  <si>
    <t xml:space="preserve">1994-01-18</t>
  </si>
  <si>
    <t xml:space="preserve">E154</t>
  </si>
  <si>
    <t xml:space="preserve">At Christmas</t>
  </si>
  <si>
    <t xml:space="preserve">1994-10-25</t>
  </si>
  <si>
    <t xml:space="preserve">US (Billboard 200) column shows dash; us_release=yes because it charted at 65 on the US R&amp;B albums chart (discography US R&amp;B column; label RCA), which implies a US release. Album page https://en.wikipedia.org/wiki/At_Christmas_(Freddie_Jackson_album) confirms US Top R&amp;B/Hip-Hop Albums peak 65 and no Billboard 200 position</t>
  </si>
  <si>
    <t xml:space="preserve">E155</t>
  </si>
  <si>
    <t xml:space="preserve">Private Party</t>
  </si>
  <si>
    <t xml:space="preserve">1995-02-28</t>
  </si>
  <si>
    <t xml:space="preserve">Also US R&amp;B 28; label Street Life / Scotti Bros.</t>
  </si>
  <si>
    <t xml:space="preserve">E156</t>
  </si>
  <si>
    <t xml:space="preserve">Life After 30</t>
  </si>
  <si>
    <t xml:space="preserve">1999-09-14</t>
  </si>
  <si>
    <t xml:space="preserve">US (Billboard 200) column shows dash; us_release=yes because it charted at 81 on the US R&amp;B albums chart (discography US R&amp;B column; label Orpheus), which implies a US release</t>
  </si>
  <si>
    <t xml:space="preserve">E157</t>
  </si>
  <si>
    <t xml:space="preserve">It's Your Move</t>
  </si>
  <si>
    <t xml:space="preserve">2004-02-24</t>
  </si>
  <si>
    <t xml:space="preserve">US (Billboard 200) column shows dash; us_release=yes because it charted at 45 on the US R&amp;B albums chart (discography US R&amp;B column; label Orpheus), which implies a US release</t>
  </si>
  <si>
    <t xml:space="preserve">E158</t>
  </si>
  <si>
    <t xml:space="preserve">Personal Reflections</t>
  </si>
  <si>
    <t xml:space="preserve">2005-11-01</t>
  </si>
  <si>
    <t xml:space="preserve">Dash in both US and US R&amp;B columns; label Artemis Records; no US release statement found</t>
  </si>
  <si>
    <t xml:space="preserve">E159</t>
  </si>
  <si>
    <t xml:space="preserve">Transitions</t>
  </si>
  <si>
    <t xml:space="preserve">2006-09-26</t>
  </si>
  <si>
    <t xml:space="preserve">US (Billboard 200) column shows dash; us_release=yes because it charted at 26 on the US R&amp;B albums chart (discography US R&amp;B column; label Orpheus Records), which implies a US release</t>
  </si>
  <si>
    <t xml:space="preserve">E160</t>
  </si>
  <si>
    <t xml:space="preserve">For You</t>
  </si>
  <si>
    <t xml:space="preserve">2010-11-16</t>
  </si>
  <si>
    <t xml:space="preserve">US (Billboard 200) column shows dash; us_release=yes because it charted at 48 on the US R&amp;B albums chart (discography US R&amp;B column; label eOne), which implies a US release</t>
  </si>
  <si>
    <t xml:space="preserve">E161</t>
  </si>
  <si>
    <t xml:space="preserve">Love Signals</t>
  </si>
  <si>
    <t xml:space="preserve">2018-06-04</t>
  </si>
  <si>
    <t xml:space="preserve">Dash in both US and US R&amp;B columns; label Climax Entertainment; no US release statement found</t>
  </si>
  <si>
    <t xml:space="preserve">E162</t>
  </si>
  <si>
    <t xml:space="preserve">My First Love</t>
  </si>
  <si>
    <t xml:space="preserve">2023-05-12</t>
  </si>
  <si>
    <t xml:space="preserve">Dash in both US and US R&amp;B columns; label Climax Entertainment; no US release statement found. Discography gives release date December 5, 2023 (input says 2023-05-12, possibly day/month swap)</t>
  </si>
  <si>
    <t xml:space="preserve">E163</t>
  </si>
  <si>
    <t xml:space="preserve">The Thin Red Line</t>
  </si>
  <si>
    <t xml:space="preserve">1986-02-17</t>
  </si>
  <si>
    <t xml:space="preserve">https://en.wikipedia.org/wiki/Glass_Tiger</t>
  </si>
  <si>
    <t xml:space="preserve">E165</t>
  </si>
  <si>
    <t xml:space="preserve">Diamond Sun</t>
  </si>
  <si>
    <t xml:space="preserve">1988-04-13</t>
  </si>
  <si>
    <t xml:space="preserve">E166</t>
  </si>
  <si>
    <t xml:space="preserve">Simple Mission</t>
  </si>
  <si>
    <t xml:space="preserve">1991-03-22</t>
  </si>
  <si>
    <t xml:space="preserve">US dash on Glass Tiger page; Simple Mission page (Capitol) gives no US release info, no Billboard 200 or RIAA; Canada Platinum only</t>
  </si>
  <si>
    <t xml:space="preserve">E169</t>
  </si>
  <si>
    <t xml:space="preserve">Songs for a Winter's Night</t>
  </si>
  <si>
    <t xml:space="preserve">2020-10-30</t>
  </si>
  <si>
    <t xml:space="preserve">US dash on Glass Tiger page; no RIAA cert; US release status not checked (time limit)</t>
  </si>
  <si>
    <t xml:space="preserve">E170</t>
  </si>
  <si>
    <t xml:space="preserve">Beauty and the Beat</t>
  </si>
  <si>
    <t xml:space="preserve">1981-07-08</t>
  </si>
  <si>
    <t xml:space="preserve">https://en.wikipedia.org/wiki/The_Go-Go%27s_discography</t>
  </si>
  <si>
    <t xml:space="preserve">E172</t>
  </si>
  <si>
    <t xml:space="preserve">Vacation</t>
  </si>
  <si>
    <t xml:space="preserve">1982-07-20</t>
  </si>
  <si>
    <t xml:space="preserve">E173</t>
  </si>
  <si>
    <t xml:space="preserve">Talk Show</t>
  </si>
  <si>
    <t xml:space="preserve">1984-03-19</t>
  </si>
  <si>
    <t xml:space="preserve">E176</t>
  </si>
  <si>
    <t xml:space="preserve">God Bless the Go-Go's</t>
  </si>
  <si>
    <t xml:space="preserve">2001-05-15</t>
  </si>
  <si>
    <t xml:space="preserve">E179</t>
  </si>
  <si>
    <t xml:space="preserve">Reproduction</t>
  </si>
  <si>
    <t xml:space="preserve">1979-10-05</t>
  </si>
  <si>
    <t xml:space="preserve">https://en.wikipedia.org/wiki/The_Human_League_discography</t>
  </si>
  <si>
    <t xml:space="preserve">US column shows dash; only BPI Gold listed; album page (https://en.wikipedia.org/wiki/Reproduction_(album)) gives no US release statement</t>
  </si>
  <si>
    <t xml:space="preserve">E180</t>
  </si>
  <si>
    <t xml:space="preserve">Travelogue</t>
  </si>
  <si>
    <t xml:space="preserve">1980-05-16</t>
  </si>
  <si>
    <t xml:space="preserve">US column shows dash; only BPI Gold listed; album page (https://en.wikipedia.org/wiki/Travelogue_(The_Human_League_album)) mentions Canadian and Australian issues but no US release statement</t>
  </si>
  <si>
    <t xml:space="preserve">E181</t>
  </si>
  <si>
    <t xml:space="preserve">Dare</t>
  </si>
  <si>
    <t xml:space="preserve">Peak 3 and RIAA Gold confirmed on album page https://en.wikipedia.org/wiki/Dare_(album)</t>
  </si>
  <si>
    <t xml:space="preserve">E183</t>
  </si>
  <si>
    <t xml:space="preserve">Hysteria</t>
  </si>
  <si>
    <t xml:space="preserve">1984-05-07</t>
  </si>
  <si>
    <t xml:space="preserve">E184</t>
  </si>
  <si>
    <t xml:space="preserve">Crash</t>
  </si>
  <si>
    <t xml:space="preserve">1986-09-08</t>
  </si>
  <si>
    <t xml:space="preserve">E185</t>
  </si>
  <si>
    <t xml:space="preserve">Romantic?</t>
  </si>
  <si>
    <t xml:space="preserve">1990-09-17</t>
  </si>
  <si>
    <t xml:space="preserve">https://en.wikipedia.org/wiki/Romantic%3F</t>
  </si>
  <si>
    <t xml:space="preserve">Discography US column dash; album page has no Billboard 200 row; infobox lists labels Virgin (UK), A&amp;M (US)</t>
  </si>
  <si>
    <t xml:space="preserve">E186</t>
  </si>
  <si>
    <t xml:space="preserve">Octopus</t>
  </si>
  <si>
    <t xml:space="preserve">1995-01-23</t>
  </si>
  <si>
    <t xml:space="preserve">https://en.wikipedia.org/wiki/Octopus_(The_Human_League_album)</t>
  </si>
  <si>
    <t xml:space="preserve">Discography US column dash; album page charts table has no Billboard 200 row; album page states released in the US on Elektra Records on 25 April 1995; only BPI Gold</t>
  </si>
  <si>
    <t xml:space="preserve">E187</t>
  </si>
  <si>
    <t xml:space="preserve">Secrets</t>
  </si>
  <si>
    <t xml:space="preserve">2001-07-06</t>
  </si>
  <si>
    <t xml:space="preserve">https://en.wikipedia.org/wiki/Secrets_(The_Human_League_album)</t>
  </si>
  <si>
    <t xml:space="preserve">Discography US column dash; album page has no Billboard 200 row; album page states released in the United States on Ark21 Records November 2001</t>
  </si>
  <si>
    <t xml:space="preserve">E188</t>
  </si>
  <si>
    <t xml:space="preserve">Credo</t>
  </si>
  <si>
    <t xml:space="preserve">2011-03-21</t>
  </si>
  <si>
    <t xml:space="preserve">https://en.wikipedia.org/wiki/Credo_(The_Human_League_album)</t>
  </si>
  <si>
    <t xml:space="preserve">Discography US column dash; album page has no Billboard 200 row; states released digitally in the United States on 16 August 2011, physical 23 August</t>
  </si>
  <si>
    <t xml:space="preserve">E189</t>
  </si>
  <si>
    <t xml:space="preserve">Strange Fire</t>
  </si>
  <si>
    <t xml:space="preserve">1987-05-01</t>
  </si>
  <si>
    <t xml:space="preserve">https://en.wikipedia.org/wiki/Indigo_Girls</t>
  </si>
  <si>
    <t xml:space="preserve">Indigo_Girls_discography page not reachable; values from studio albums table on main Indigo Girls article</t>
  </si>
  <si>
    <t xml:space="preserve">E190</t>
  </si>
  <si>
    <t xml:space="preserve">1989-02-28</t>
  </si>
  <si>
    <t xml:space="preserve">Indigo_Girls_discography page not reachable; values from studio albums table on main Indigo Girls article; table says 2× Platinum (body text mentions earlier platinum certification)</t>
  </si>
  <si>
    <t xml:space="preserve">E192</t>
  </si>
  <si>
    <t xml:space="preserve">Nomads Indians Saints</t>
  </si>
  <si>
    <t xml:space="preserve">1990-09-21</t>
  </si>
  <si>
    <t xml:space="preserve">E193</t>
  </si>
  <si>
    <t xml:space="preserve">Rites of Passage</t>
  </si>
  <si>
    <t xml:space="preserve">1992-05-12</t>
  </si>
  <si>
    <t xml:space="preserve">E194</t>
  </si>
  <si>
    <t xml:space="preserve">Swamp Ophelia</t>
  </si>
  <si>
    <t xml:space="preserve">1994-05-10</t>
  </si>
  <si>
    <t xml:space="preserve">E195</t>
  </si>
  <si>
    <t xml:space="preserve">Shaming of the Sun</t>
  </si>
  <si>
    <t xml:space="preserve">1997-04-29</t>
  </si>
  <si>
    <t xml:space="preserve">E196</t>
  </si>
  <si>
    <t xml:space="preserve">Come on Now Social</t>
  </si>
  <si>
    <t xml:space="preserve">1999-09-28</t>
  </si>
  <si>
    <t xml:space="preserve">E197</t>
  </si>
  <si>
    <t xml:space="preserve">Become You</t>
  </si>
  <si>
    <t xml:space="preserve">2002-03-12</t>
  </si>
  <si>
    <t xml:space="preserve">E198</t>
  </si>
  <si>
    <t xml:space="preserve">All That We Let In</t>
  </si>
  <si>
    <t xml:space="preserve">2004-02-17</t>
  </si>
  <si>
    <t xml:space="preserve">E199</t>
  </si>
  <si>
    <t xml:space="preserve">Despite Our Differences</t>
  </si>
  <si>
    <t xml:space="preserve">2006-09-19</t>
  </si>
  <si>
    <t xml:space="preserve">E200</t>
  </si>
  <si>
    <t xml:space="preserve">Poseidon and the Bitter Bug</t>
  </si>
  <si>
    <t xml:space="preserve">2009-03-24</t>
  </si>
  <si>
    <t xml:space="preserve">E201</t>
  </si>
  <si>
    <t xml:space="preserve">Holly Happy Days</t>
  </si>
  <si>
    <t xml:space="preserve">2010-10-12</t>
  </si>
  <si>
    <t xml:space="preserve">Indigo_Girls_discography page not reachable; values from studio albums table on main Indigo Girls article; US column shows a dash; album page (https://en.wikipedia.org/wiki/Holly_Happy_Days) has no charts table, says released 12 Oct 2010 by Vanguard Records, no explicit US-release statement</t>
  </si>
  <si>
    <t xml:space="preserve">E202</t>
  </si>
  <si>
    <t xml:space="preserve">Beauty Queen Sister</t>
  </si>
  <si>
    <t xml:space="preserve">2011-10-04</t>
  </si>
  <si>
    <t xml:space="preserve">E203</t>
  </si>
  <si>
    <t xml:space="preserve">One Lost Day</t>
  </si>
  <si>
    <t xml:space="preserve">2015-06-02</t>
  </si>
  <si>
    <t xml:space="preserve">E204</t>
  </si>
  <si>
    <t xml:space="preserve">Look Long</t>
  </si>
  <si>
    <t xml:space="preserve">2020-05-22</t>
  </si>
  <si>
    <t xml:space="preserve">Indigo_Girls_discography page not reachable; values from studio albums table on main Indigo Girls article; 159 confirmed on album page https://en.wikipedia.org/wiki/Look_Long (US Billboard 200 row)</t>
  </si>
  <si>
    <t xml:space="preserve">E205</t>
  </si>
  <si>
    <t xml:space="preserve">Ésta es Irene</t>
  </si>
  <si>
    <t xml:space="preserve">1967</t>
  </si>
  <si>
    <t xml:space="preserve">https://en.wikipedia.org/wiki/Irene_Cara</t>
  </si>
  <si>
    <t xml:space="preserve">US column shows dash on Irene Cara page discography table (Gema Records); no album page found; no release-territory statement</t>
  </si>
  <si>
    <t xml:space="preserve">E207</t>
  </si>
  <si>
    <t xml:space="preserve">Anyone Can See</t>
  </si>
  <si>
    <t xml:space="preserve">1982-01</t>
  </si>
  <si>
    <t xml:space="preserve">E208</t>
  </si>
  <si>
    <t xml:space="preserve">What a Feelin'</t>
  </si>
  <si>
    <t xml:space="preserve">1983-11-02</t>
  </si>
  <si>
    <t xml:space="preserve">Peak 77 confirmed on album page https://en.wikipedia.org/wiki/What_a_Feelin%27; no RIAA certification mentioned</t>
  </si>
  <si>
    <t xml:space="preserve">E209</t>
  </si>
  <si>
    <t xml:space="preserve">Carasmatic</t>
  </si>
  <si>
    <t xml:space="preserve">https://en.wikipedia.org/wiki/Carasmatic</t>
  </si>
  <si>
    <t xml:space="preserve">Album page states it did not chart on the Billboard 200; Elektra label, reviewed by Billboard and Cash Box, but no explicit US release statement, so left unknown</t>
  </si>
  <si>
    <t xml:space="preserve">E210</t>
  </si>
  <si>
    <t xml:space="preserve">Irene Cara Presents Hot Caramel</t>
  </si>
  <si>
    <t xml:space="preserve">2011-04-04</t>
  </si>
  <si>
    <t xml:space="preserve">US column shows dash on Irene Cara page discography table (CPM); no album page found; no release-territory statement</t>
  </si>
  <si>
    <t xml:space="preserve">E212</t>
  </si>
  <si>
    <t xml:space="preserve">It's Your Night</t>
  </si>
  <si>
    <t xml:space="preserve">1983-10-24</t>
  </si>
  <si>
    <t xml:space="preserve">https://en.wikipedia.org/wiki/James_Ingram</t>
  </si>
  <si>
    <t xml:space="preserve">E213</t>
  </si>
  <si>
    <t xml:space="preserve">Never Felt So Good</t>
  </si>
  <si>
    <t xml:space="preserve">1986-07-15</t>
  </si>
  <si>
    <t xml:space="preserve">E214</t>
  </si>
  <si>
    <t xml:space="preserve">It's Real</t>
  </si>
  <si>
    <t xml:space="preserve">1989-05-23</t>
  </si>
  <si>
    <t xml:space="preserve">E215</t>
  </si>
  <si>
    <t xml:space="preserve">Always You</t>
  </si>
  <si>
    <t xml:space="preserve">1993-05-25</t>
  </si>
  <si>
    <t xml:space="preserve">US (BB200) column dash (page defines dash as did not chart or not released in territory); no RIAA cert; table shows US R&amp;B 74, label Qwest/Warner Bros. us_release=yes is based on a US Billboard genre-chart entry, not the Billboard 200; set to unknown if only the three listed criteria should count.</t>
  </si>
  <si>
    <t xml:space="preserve">E216</t>
  </si>
  <si>
    <t xml:space="preserve">Stand</t>
  </si>
  <si>
    <t xml:space="preserve">2008-10-14</t>
  </si>
  <si>
    <t xml:space="preserve">US (BB200) column dash; no RIAA cert; table shows US R&amp;B 63, US Gospel 18, label Intering. us_release=yes is based on a US Billboard genre-chart entry, not the Billboard 200; set to unknown if only the three listed criteria should count.</t>
  </si>
  <si>
    <t xml:space="preserve">E218</t>
  </si>
  <si>
    <t xml:space="preserve">Feel My Soul</t>
  </si>
  <si>
    <t xml:space="preserve">https://en.wikipedia.org/wiki/Feel_My_Soul</t>
  </si>
  <si>
    <t xml:space="preserve">album charts table: US Billboard 200 31 (also main-article text); no RIAA certification mentioned</t>
  </si>
  <si>
    <t xml:space="preserve">E219</t>
  </si>
  <si>
    <t xml:space="preserve">Say You Love Me</t>
  </si>
  <si>
    <t xml:space="preserve">1985-08-19</t>
  </si>
  <si>
    <t xml:space="preserve">https://en.wikipedia.org/wiki/Say_You_Love_Me_(album)</t>
  </si>
  <si>
    <t xml:space="preserve">"charted at #110 on the Billboard 200"; no RIAA certification mentioned</t>
  </si>
  <si>
    <t xml:space="preserve">E220</t>
  </si>
  <si>
    <t xml:space="preserve">Get Close to My Love</t>
  </si>
  <si>
    <t xml:space="preserve">1987-08-18</t>
  </si>
  <si>
    <t xml:space="preserve">https://en.wikipedia.org/wiki/Get_Close_to_My_Love</t>
  </si>
  <si>
    <t xml:space="preserve">album page gives no Billboard 200 peak (only Swedish album chart No. 26) and main article calls it a commercial failure; Geffen release, but no explicit US-release statement (a single from it reached Billboard Hot Black Singles No. 48)</t>
  </si>
  <si>
    <t xml:space="preserve">E221</t>
  </si>
  <si>
    <t xml:space="preserve">I'm on Your Side</t>
  </si>
  <si>
    <t xml:space="preserve">1991-07-23</t>
  </si>
  <si>
    <t xml:space="preserve">https://en.wikipedia.org/wiki/I%27m_on_Your_Side</t>
  </si>
  <si>
    <t xml:space="preserve">charts table: US Billboard 200 184; no RIAA certification mentioned</t>
  </si>
  <si>
    <t xml:space="preserve">E222</t>
  </si>
  <si>
    <t xml:space="preserve">On &amp; On...</t>
  </si>
  <si>
    <t xml:space="preserve">1994-11-08</t>
  </si>
  <si>
    <t xml:space="preserve">https://en.wikipedia.org/wiki/On_%26_On_(Jennifer_Holliday_album)</t>
  </si>
  <si>
    <t xml:space="preserve">no Billboard 200 peak given; only US Billboard Top Gospel Albums No. 10 (a US chart, hence us_release yes); no RIAA certification mentioned</t>
  </si>
  <si>
    <t xml:space="preserve">E223</t>
  </si>
  <si>
    <t xml:space="preserve">The Song Is You</t>
  </si>
  <si>
    <t xml:space="preserve">2014-01-21</t>
  </si>
  <si>
    <t xml:space="preserve">https://en.wikipedia.org/wiki/The_Song_Is_You_(Jennifer_Holliday_album)</t>
  </si>
  <si>
    <t xml:space="preserve">charts table lists only US Top R&amp;B/Hip-Hop Albums 27 and US Independent Albums 46, no Billboard 200 row; us_release yes because it charted on US Billboard charts; no RIAA certification mentioned</t>
  </si>
  <si>
    <t xml:space="preserve">E224</t>
  </si>
  <si>
    <t xml:space="preserve">1987-02-23</t>
  </si>
  <si>
    <t xml:space="preserve">https://en.wikipedia.org/wiki/Jody_Watley_discography</t>
  </si>
  <si>
    <t xml:space="preserve">E227</t>
  </si>
  <si>
    <t xml:space="preserve">Larger Than Life</t>
  </si>
  <si>
    <t xml:space="preserve">1989-03-27</t>
  </si>
  <si>
    <t xml:space="preserve">E228</t>
  </si>
  <si>
    <t xml:space="preserve">Affairs of the Heart</t>
  </si>
  <si>
    <t xml:space="preserve">1991-12-03</t>
  </si>
  <si>
    <t xml:space="preserve">E229</t>
  </si>
  <si>
    <t xml:space="preserve">Intimacy</t>
  </si>
  <si>
    <t xml:space="preserve">1993-11-09</t>
  </si>
  <si>
    <t xml:space="preserve">E230</t>
  </si>
  <si>
    <t xml:space="preserve">Affection</t>
  </si>
  <si>
    <t xml:space="preserve">1995-07-11</t>
  </si>
  <si>
    <t xml:space="preserve">Dash in US column (did not chart); no RIAA certification listed.</t>
  </si>
  <si>
    <t xml:space="preserve">E231</t>
  </si>
  <si>
    <t xml:space="preserve">Flower</t>
  </si>
  <si>
    <t xml:space="preserve">1998-03-31</t>
  </si>
  <si>
    <t xml:space="preserve">E232</t>
  </si>
  <si>
    <t xml:space="preserve">The Saturday Night Experience Volume 1</t>
  </si>
  <si>
    <t xml:space="preserve">1999-11-17</t>
  </si>
  <si>
    <t xml:space="preserve">E233</t>
  </si>
  <si>
    <t xml:space="preserve">Midnight Lounge</t>
  </si>
  <si>
    <t xml:space="preserve">2001-10-24</t>
  </si>
  <si>
    <t xml:space="preserve">E234</t>
  </si>
  <si>
    <t xml:space="preserve">The Makeover</t>
  </si>
  <si>
    <t xml:space="preserve">2006-08-08</t>
  </si>
  <si>
    <t xml:space="preserve">E235</t>
  </si>
  <si>
    <t xml:space="preserve">Why Not Me</t>
  </si>
  <si>
    <t xml:space="preserve">1984-10-15</t>
  </si>
  <si>
    <t xml:space="preserve">https://en.wikipedia.org/wiki/The_Judds_discography</t>
  </si>
  <si>
    <t xml:space="preserve">E237</t>
  </si>
  <si>
    <t xml:space="preserve">Rockin' with the Rhythm</t>
  </si>
  <si>
    <t xml:space="preserve">1985-10-30</t>
  </si>
  <si>
    <t xml:space="preserve">E238</t>
  </si>
  <si>
    <t xml:space="preserve">Heartland</t>
  </si>
  <si>
    <t xml:space="preserve">1987-02-02</t>
  </si>
  <si>
    <t xml:space="preserve">E239</t>
  </si>
  <si>
    <t xml:space="preserve">Christmas Time with the Judds</t>
  </si>
  <si>
    <t xml:space="preserve">1987-09-29</t>
  </si>
  <si>
    <t xml:space="preserve">Did not chart on the Billboard 200 (dash in US column of discography; album page lists only US Top Country Albums 49 and Top Holiday Albums 9). RIAA Platinum confirmed on album page https://en.wikipedia.org/wiki/Christmas_Time_with_the_Judds.</t>
  </si>
  <si>
    <t xml:space="preserve">E240</t>
  </si>
  <si>
    <t xml:space="preserve">River of Time</t>
  </si>
  <si>
    <t xml:space="preserve">1989-04-04</t>
  </si>
  <si>
    <t xml:space="preserve">E241</t>
  </si>
  <si>
    <t xml:space="preserve">Love Can Build a Bridge</t>
  </si>
  <si>
    <t xml:space="preserve">1990-09-11</t>
  </si>
  <si>
    <t xml:space="preserve">E247</t>
  </si>
  <si>
    <t xml:space="preserve">Valotte</t>
  </si>
  <si>
    <t xml:space="preserve">https://en.wikipedia.org/wiki/Julian_Lennon_discography</t>
  </si>
  <si>
    <t xml:space="preserve">E249</t>
  </si>
  <si>
    <t xml:space="preserve">The Secret Value of Daydreaming</t>
  </si>
  <si>
    <t xml:space="preserve">1986-03-24</t>
  </si>
  <si>
    <t xml:space="preserve">E250</t>
  </si>
  <si>
    <t xml:space="preserve">Mr. Jordan</t>
  </si>
  <si>
    <t xml:space="preserve">1989-03-10</t>
  </si>
  <si>
    <t xml:space="preserve">E251</t>
  </si>
  <si>
    <t xml:space="preserve">Help Yourself</t>
  </si>
  <si>
    <t xml:space="preserve">1991-08-20</t>
  </si>
  <si>
    <t xml:space="preserve">https://en.wikipedia.org/wiki/Help_Yourself_(Julian_Lennon_album)</t>
  </si>
  <si>
    <t xml:space="preserve">Dash in US column of discography (did not chart); only ARIA Gold, no RIAA. Album page states US release on Atlantic Records.</t>
  </si>
  <si>
    <t xml:space="preserve">E252</t>
  </si>
  <si>
    <t xml:space="preserve">Photograph Smile</t>
  </si>
  <si>
    <t xml:space="preserve">1998-05-18</t>
  </si>
  <si>
    <t xml:space="preserve">https://en.wikipedia.org/wiki/Photograph_Smile</t>
  </si>
  <si>
    <t xml:space="preserve">Did not chart in US (discography dash); album page release table lists US release on Fuel 2000, 23 February 1999.</t>
  </si>
  <si>
    <t xml:space="preserve">E253</t>
  </si>
  <si>
    <t xml:space="preserve">Everything Changes</t>
  </si>
  <si>
    <t xml:space="preserve">2011-10-02</t>
  </si>
  <si>
    <t xml:space="preserve">https://en.wikipedia.org/wiki/Everything_Changes_(Julian_Lennon_album)</t>
  </si>
  <si>
    <t xml:space="preserve">Did not chart on Billboard 200 (discography dash); no RIAA. Album page says the 2 Oct 2011 CD "only saw a UK/Ireland release", but grammy.com news article (https://www.grammy.com/news/video-everything-changes-for-julian-lennon/) refers to "the U.S. release of Everything Changes" following the June 2013 international reissue. Coded "yes" because a source states a US release; original 2011 release was UK/Ireland only.</t>
  </si>
  <si>
    <t xml:space="preserve">E254</t>
  </si>
  <si>
    <t xml:space="preserve">Jude</t>
  </si>
  <si>
    <t xml:space="preserve">2022-09-09</t>
  </si>
  <si>
    <t xml:space="preserve">https://en.wikipedia.org/wiki/Jude_(album)</t>
  </si>
  <si>
    <t xml:space="preserve">Did not chart on Billboard 200 (discography dash; album chart table has no US row). Released on BMG; no source checked states US release explicitly.</t>
  </si>
  <si>
    <t xml:space="preserve">E255</t>
  </si>
  <si>
    <t xml:space="preserve">Walking on Sunshine</t>
  </si>
  <si>
    <t xml:space="preserve">1983-12-01</t>
  </si>
  <si>
    <t xml:space="preserve">https://en.wikipedia.org/wiki/Walking_on_Sunshine_(Katrina_and_the_Waves_album)</t>
  </si>
  <si>
    <t xml:space="preserve">Album page: "The album was only officially released in Canada" (Attic Records); it later appeared worldwide only via the 2003 compilation The Original Recordings 1983-1984.</t>
  </si>
  <si>
    <t xml:space="preserve">E256</t>
  </si>
  <si>
    <t xml:space="preserve">Katrina and the Waves 2</t>
  </si>
  <si>
    <t xml:space="preserve">1984</t>
  </si>
  <si>
    <t xml:space="preserve">https://en.wikipedia.org/wiki/Katrina_and_the_Waves_2</t>
  </si>
  <si>
    <t xml:space="preserve">Album page: "The album was originally only released in Canada on the Attic Records label" (a 2010 CGB reissue is mentioned without territory).</t>
  </si>
  <si>
    <t xml:space="preserve">E257</t>
  </si>
  <si>
    <t xml:space="preserve">1985-03-22</t>
  </si>
  <si>
    <t xml:space="preserve">https://en.wikipedia.org/wiki/Katrina_and_the_Waves_(album)</t>
  </si>
  <si>
    <t xml:space="preserve">Album page certification table has Canada and Sweden only, no RIAA row.</t>
  </si>
  <si>
    <t xml:space="preserve">E258</t>
  </si>
  <si>
    <t xml:space="preserve">Waves</t>
  </si>
  <si>
    <t xml:space="preserve">1986</t>
  </si>
  <si>
    <t xml:space="preserve">https://en.wikipedia.org/wiki/Waves_(Katrina_and_the_Waves_album)</t>
  </si>
  <si>
    <t xml:space="preserve">Album page charts row: US (Billboard 200) 49. Only Canadian Gold certification listed.</t>
  </si>
  <si>
    <t xml:space="preserve">E260</t>
  </si>
  <si>
    <t xml:space="preserve">Break of Hearts</t>
  </si>
  <si>
    <t xml:space="preserve">1989-07-26</t>
  </si>
  <si>
    <t xml:space="preserve">https://en.wikipedia.org/wiki/Katrina_and_the_Waves</t>
  </si>
  <si>
    <t xml:space="preserve">E261</t>
  </si>
  <si>
    <t xml:space="preserve">Pet the Tiger</t>
  </si>
  <si>
    <t xml:space="preserve">1991</t>
  </si>
  <si>
    <t xml:space="preserve">https://en.wikipedia.org/wiki/Pet_the_Tiger</t>
  </si>
  <si>
    <t xml:space="preserve">No US chart position; album page: released 1991 by Virgin Records after signing with Virgin Germany; no statement on release territories or a US release. Only chart is Sweden 48.</t>
  </si>
  <si>
    <t xml:space="preserve">E262</t>
  </si>
  <si>
    <t xml:space="preserve">Edge of the Land</t>
  </si>
  <si>
    <t xml:space="preserve">1993</t>
  </si>
  <si>
    <t xml:space="preserve">No US chart position listed; US release status not yet confirmed.</t>
  </si>
  <si>
    <t xml:space="preserve">E263</t>
  </si>
  <si>
    <t xml:space="preserve">Turnaround</t>
  </si>
  <si>
    <t xml:space="preserve">1994</t>
  </si>
  <si>
    <t xml:space="preserve">E264</t>
  </si>
  <si>
    <t xml:space="preserve">Walk on Water</t>
  </si>
  <si>
    <t xml:space="preserve">1997</t>
  </si>
  <si>
    <t xml:space="preserve">https://en.wikipedia.org/wiki/Walk_on_Water_(Katrina_and_the_Waves_album)</t>
  </si>
  <si>
    <t xml:space="preserve">No US chart entry; album page does not say whether the album was issued in the US (only that the lead single was not released there as a single); UK/Europe and Japan editions cited.</t>
  </si>
  <si>
    <t xml:space="preserve">E266</t>
  </si>
  <si>
    <t xml:space="preserve">Get the Knack</t>
  </si>
  <si>
    <t xml:space="preserve">1979-06-01</t>
  </si>
  <si>
    <t xml:space="preserve">https://en.wikipedia.org/wiki/The_Knack_discography</t>
  </si>
  <si>
    <t xml:space="preserve">E267</t>
  </si>
  <si>
    <t xml:space="preserve">...But the Little Girls Understand</t>
  </si>
  <si>
    <t xml:space="preserve">1980-02-15</t>
  </si>
  <si>
    <t xml:space="preserve">E269</t>
  </si>
  <si>
    <t xml:space="preserve">Round Trip</t>
  </si>
  <si>
    <t xml:space="preserve">1981-10</t>
  </si>
  <si>
    <t xml:space="preserve">E272</t>
  </si>
  <si>
    <t xml:space="preserve">Serious Fun</t>
  </si>
  <si>
    <t xml:space="preserve">1991-01-15</t>
  </si>
  <si>
    <t xml:space="preserve">Dash in US column; article says it was the first Knack album not to chart on the Billboard 200. Label Charisma; no explicit US-release statement found.</t>
  </si>
  <si>
    <t xml:space="preserve">E275</t>
  </si>
  <si>
    <t xml:space="preserve">Zoom</t>
  </si>
  <si>
    <t xml:space="preserve">1998-07-14</t>
  </si>
  <si>
    <t xml:space="preserve">Dash in US column (did not chart). Label Rhino; no explicit US-release statement found.</t>
  </si>
  <si>
    <t xml:space="preserve">E276</t>
  </si>
  <si>
    <t xml:space="preserve">Normal as the Next Guy</t>
  </si>
  <si>
    <t xml:space="preserve">2001-09-25</t>
  </si>
  <si>
    <t xml:space="preserve">Dash in US column (did not chart). Label Smile; no explicit US-release statement found.</t>
  </si>
  <si>
    <t xml:space="preserve">E278</t>
  </si>
  <si>
    <t xml:space="preserve">Never Too Much</t>
  </si>
  <si>
    <t xml:space="preserve">1981-08-12</t>
  </si>
  <si>
    <t xml:space="preserve">https://en.wikipedia.org/wiki/Luther_Vandross_discography</t>
  </si>
  <si>
    <t xml:space="preserve">E280</t>
  </si>
  <si>
    <t xml:space="preserve">Forever, for Always, for Love</t>
  </si>
  <si>
    <t xml:space="preserve">1982-09-21</t>
  </si>
  <si>
    <t xml:space="preserve">E281</t>
  </si>
  <si>
    <t xml:space="preserve">Busy Body</t>
  </si>
  <si>
    <t xml:space="preserve">1983-11-25</t>
  </si>
  <si>
    <t xml:space="preserve">E282</t>
  </si>
  <si>
    <t xml:space="preserve">The Night I Fell in Love</t>
  </si>
  <si>
    <t xml:space="preserve">1985-03-08</t>
  </si>
  <si>
    <t xml:space="preserve">E283</t>
  </si>
  <si>
    <t xml:space="preserve">Give Me the Reason</t>
  </si>
  <si>
    <t xml:space="preserve">1986-09</t>
  </si>
  <si>
    <t xml:space="preserve">E284</t>
  </si>
  <si>
    <t xml:space="preserve">Any Love</t>
  </si>
  <si>
    <t xml:space="preserve">1988-09-20</t>
  </si>
  <si>
    <t xml:space="preserve">E285</t>
  </si>
  <si>
    <t xml:space="preserve">Power of Love</t>
  </si>
  <si>
    <t xml:space="preserve">1991-04-26</t>
  </si>
  <si>
    <t xml:space="preserve">E286</t>
  </si>
  <si>
    <t xml:space="preserve">Never Let Me Go</t>
  </si>
  <si>
    <t xml:space="preserve">1993-05-26</t>
  </si>
  <si>
    <t xml:space="preserve">E287</t>
  </si>
  <si>
    <t xml:space="preserve">Songs</t>
  </si>
  <si>
    <t xml:space="preserve">1994-09-20</t>
  </si>
  <si>
    <t xml:space="preserve">E288</t>
  </si>
  <si>
    <t xml:space="preserve">This Is Christmas</t>
  </si>
  <si>
    <t xml:space="preserve">1995-10-18</t>
  </si>
  <si>
    <t xml:space="preserve">Listed in the discography's holiday albums table, not the studio albums table.</t>
  </si>
  <si>
    <t xml:space="preserve">E289</t>
  </si>
  <si>
    <t xml:space="preserve">Your Secret Love</t>
  </si>
  <si>
    <t xml:space="preserve">1996-10-01</t>
  </si>
  <si>
    <t xml:space="preserve">E290</t>
  </si>
  <si>
    <t xml:space="preserve">I Know</t>
  </si>
  <si>
    <t xml:space="preserve">1998-08-11</t>
  </si>
  <si>
    <t xml:space="preserve">E291</t>
  </si>
  <si>
    <t xml:space="preserve">2001-06-19</t>
  </si>
  <si>
    <t xml:space="preserve">E292</t>
  </si>
  <si>
    <t xml:space="preserve">Dance with My Father</t>
  </si>
  <si>
    <t xml:space="preserve">2003-06-10</t>
  </si>
  <si>
    <t xml:space="preserve">E293</t>
  </si>
  <si>
    <t xml:space="preserve">Business as Usual</t>
  </si>
  <si>
    <t xml:space="preserve">1981-11-09</t>
  </si>
  <si>
    <t xml:space="preserve">6× Platinum</t>
  </si>
  <si>
    <t xml:space="preserve">https://en.wikipedia.org/wiki/Men_at_Work_discography</t>
  </si>
  <si>
    <t xml:space="preserve">E296</t>
  </si>
  <si>
    <t xml:space="preserve">Cargo</t>
  </si>
  <si>
    <t xml:space="preserve">1983-05-02</t>
  </si>
  <si>
    <t xml:space="preserve">E297</t>
  </si>
  <si>
    <t xml:space="preserve">Two Hearts</t>
  </si>
  <si>
    <t xml:space="preserve">1985-04-23</t>
  </si>
  <si>
    <t xml:space="preserve">E300</t>
  </si>
  <si>
    <t xml:space="preserve">Rhythm of Youth</t>
  </si>
  <si>
    <t xml:space="preserve">1982-04</t>
  </si>
  <si>
    <t xml:space="preserve">https://en.wikipedia.org/wiki/Men_Without_Hats_discography</t>
  </si>
  <si>
    <t xml:space="preserve">E302</t>
  </si>
  <si>
    <t xml:space="preserve">Folk of the 80's (Part III)</t>
  </si>
  <si>
    <t xml:space="preserve">1984-04-03</t>
  </si>
  <si>
    <t xml:space="preserve">E303</t>
  </si>
  <si>
    <t xml:space="preserve">Pop Goes the World</t>
  </si>
  <si>
    <t xml:space="preserve">1987-06-29</t>
  </si>
  <si>
    <t xml:space="preserve">E304</t>
  </si>
  <si>
    <t xml:space="preserve">The Adventures of Women &amp; Men Without Hate in the 21st Century</t>
  </si>
  <si>
    <t xml:space="preserve">1989-10</t>
  </si>
  <si>
    <t xml:space="preserve">https://en.wikipedia.org/wiki/The_Adventures_of_Women_%26_Men_Without_Hate_in_the_21st_Century</t>
  </si>
  <si>
    <t xml:space="preserve">Dash in US column of discography; album page lists Mercury, October 1989, with no release territory or US release statement (only that it was recorded in the US).</t>
  </si>
  <si>
    <t xml:space="preserve">E305</t>
  </si>
  <si>
    <t xml:space="preserve">Sideways</t>
  </si>
  <si>
    <t xml:space="preserve">1991-04-30</t>
  </si>
  <si>
    <t xml:space="preserve">https://en.wikipedia.org/wiki/Sideways_(Men_Without_Hats_album)</t>
  </si>
  <si>
    <t xml:space="preserve">Dash in US column of discography; album page: officially released only in Canada and Japan (imports reached US shelves).</t>
  </si>
  <si>
    <t xml:space="preserve">E307</t>
  </si>
  <si>
    <t xml:space="preserve">No Hats Beyond This Point</t>
  </si>
  <si>
    <t xml:space="preserve">2003-11-04</t>
  </si>
  <si>
    <t xml:space="preserve">https://en.wikipedia.org/wiki/No_Hats_Beyond_This_Point</t>
  </si>
  <si>
    <t xml:space="preserve">Dash in US column of discography; album page (Cloud 9 Records) gives no release territory.</t>
  </si>
  <si>
    <t xml:space="preserve">E311</t>
  </si>
  <si>
    <t xml:space="preserve">Love in the Age of War</t>
  </si>
  <si>
    <t xml:space="preserve">2012-05-22</t>
  </si>
  <si>
    <t xml:space="preserve">https://en.wikipedia.org/wiki/Love_in_the_Age_of_War</t>
  </si>
  <si>
    <t xml:space="preserve">Dash in US column of discography; album page infobox: released 5 June 2012 (US).</t>
  </si>
  <si>
    <t xml:space="preserve">E312</t>
  </si>
  <si>
    <t xml:space="preserve">Again, (Part 2)</t>
  </si>
  <si>
    <t xml:space="preserve">2022-03-11</t>
  </si>
  <si>
    <t xml:space="preserve">https://www.musiclifemagazine.net/men-without-hats-to-release-again-pt-2-first-album-of-original-songs-in-10-years-available-march-11/</t>
  </si>
  <si>
    <t xml:space="preserve">Dash in US column of discography; release article gives Sonic Envy, 11 March 2022, but no release territories.</t>
  </si>
  <si>
    <t xml:space="preserve">E313</t>
  </si>
  <si>
    <t xml:space="preserve">On the Moon</t>
  </si>
  <si>
    <t xml:space="preserve">2025-11-14</t>
  </si>
  <si>
    <t xml:space="preserve">https://en.wikipedia.org/wiki/On_the_Moon_(Men_Without_Hats_album)</t>
  </si>
  <si>
    <t xml:space="preserve">Dash in US column of discography; album page (released 14 November 2025) names no label or territories.</t>
  </si>
  <si>
    <t xml:space="preserve">E314</t>
  </si>
  <si>
    <t xml:space="preserve">The Youth of Today</t>
  </si>
  <si>
    <t xml:space="preserve">1982-10-22</t>
  </si>
  <si>
    <t xml:space="preserve">https://en.wikipedia.org/wiki/Musical_Youth</t>
  </si>
  <si>
    <t xml:space="preserve">US column cites Billboard Top LPs &amp; Tape; certifications listed are UK Gold and CAN Gold only, no RIAA.</t>
  </si>
  <si>
    <t xml:space="preserve">E315</t>
  </si>
  <si>
    <t xml:space="preserve">Different Style!</t>
  </si>
  <si>
    <t xml:space="preserve">E319</t>
  </si>
  <si>
    <t xml:space="preserve">When Reggae Was King</t>
  </si>
  <si>
    <t xml:space="preserve">2018-03</t>
  </si>
  <si>
    <t xml:space="preserve">Dash in US column; released on CD March 2018, no US-release statement.</t>
  </si>
  <si>
    <t xml:space="preserve">E320</t>
  </si>
  <si>
    <t xml:space="preserve">Raw Like Sushi</t>
  </si>
  <si>
    <t xml:space="preserve">1989-06-05</t>
  </si>
  <si>
    <t xml:space="preserve">https://en.wikipedia.org/wiki/Neneh_Cherry_discography</t>
  </si>
  <si>
    <t xml:space="preserve">Peak 40 confirmed on album page https://en.wikipedia.org/wiki/Raw_Like_Sushi; no RIAA row in its certifications table or in discography</t>
  </si>
  <si>
    <t xml:space="preserve">E322</t>
  </si>
  <si>
    <t xml:space="preserve">Homebrew</t>
  </si>
  <si>
    <t xml:space="preserve">1992-10-26</t>
  </si>
  <si>
    <t xml:space="preserve">US column shows dash; album page (https://en.wikipedia.org/wiki/Homebrew_(Neneh_Cherry_album)) lists Circa label and no US release statement or Billboard 200 row</t>
  </si>
  <si>
    <t xml:space="preserve">E323</t>
  </si>
  <si>
    <t xml:space="preserve">Man</t>
  </si>
  <si>
    <t xml:space="preserve">1996-09-02</t>
  </si>
  <si>
    <t xml:space="preserve">US column shows dash; album page (https://en.wikipedia.org/wiki/Man_(Neneh_Cherry_album)) has no Billboard 200 entry and no US release statement</t>
  </si>
  <si>
    <t xml:space="preserve">E324</t>
  </si>
  <si>
    <t xml:space="preserve">Blank Project</t>
  </si>
  <si>
    <t xml:space="preserve">2014-02-25</t>
  </si>
  <si>
    <t xml:space="preserve">https://en.wikipedia.org/wiki/Blank_Project</t>
  </si>
  <si>
    <t xml:space="preserve">Discography US column dash; album page has no Billboard 200 row; cited source title gives 25 February 2014 US release on Smalltown Supersound</t>
  </si>
  <si>
    <t xml:space="preserve">E325</t>
  </si>
  <si>
    <t xml:space="preserve">Broken Politics</t>
  </si>
  <si>
    <t xml:space="preserve">2018-10-19</t>
  </si>
  <si>
    <t xml:space="preserve">US column shows dash; album page (https://en.wikipedia.org/wiki/Broken_Politics) has no Billboard 200 row and no territory-specific release statement</t>
  </si>
  <si>
    <t xml:space="preserve">E326</t>
  </si>
  <si>
    <t xml:space="preserve">Can't Turn It Off</t>
  </si>
  <si>
    <t xml:space="preserve">1982</t>
  </si>
  <si>
    <t xml:space="preserve">https://en.wikipedia.org/wiki/Nu_Shooz</t>
  </si>
  <si>
    <t xml:space="preserve">Dash on Nu Shooz page (no Billboard 200 peak); 1982 independent release (Nebula Circle) by a Portland, Oregon band, which implies a local US release, but the page does not state the territory</t>
  </si>
  <si>
    <t xml:space="preserve">E327</t>
  </si>
  <si>
    <t xml:space="preserve">Tha's Right</t>
  </si>
  <si>
    <t xml:space="preserve">1985-03-01</t>
  </si>
  <si>
    <t xml:space="preserve">Dash on Nu Shooz page (no Billboard 200 peak); described as a 'sparsely distributed' independent album (Poolside label) by a Portland, Oregon band; territory not explicitly stated</t>
  </si>
  <si>
    <t xml:space="preserve">E328</t>
  </si>
  <si>
    <t xml:space="preserve">Poolside</t>
  </si>
  <si>
    <t xml:space="preserve">1986-05-05</t>
  </si>
  <si>
    <t xml:space="preserve">E330</t>
  </si>
  <si>
    <t xml:space="preserve">Told U So</t>
  </si>
  <si>
    <t xml:space="preserve">1988-03-28</t>
  </si>
  <si>
    <t xml:space="preserve">E333</t>
  </si>
  <si>
    <t xml:space="preserve">Bagtown</t>
  </si>
  <si>
    <t xml:space="preserve">2016-05-21</t>
  </si>
  <si>
    <t xml:space="preserve">Dash on Nu Shooz page; 2016 NSO Music independent release; no RIAA cert; territory not explicitly stated</t>
  </si>
  <si>
    <t xml:space="preserve">E335</t>
  </si>
  <si>
    <t xml:space="preserve">Pretenders</t>
  </si>
  <si>
    <t xml:space="preserve">1980-01-11</t>
  </si>
  <si>
    <t xml:space="preserve">https://en.wikipedia.org/wiki/The_Pretenders_discography</t>
  </si>
  <si>
    <t xml:space="preserve">E337</t>
  </si>
  <si>
    <t xml:space="preserve">Pretenders II</t>
  </si>
  <si>
    <t xml:space="preserve">1981-08-07</t>
  </si>
  <si>
    <t xml:space="preserve">E338</t>
  </si>
  <si>
    <t xml:space="preserve">Learning to Crawl</t>
  </si>
  <si>
    <t xml:space="preserve">1984-01-13</t>
  </si>
  <si>
    <t xml:space="preserve">E339</t>
  </si>
  <si>
    <t xml:space="preserve">Get Close</t>
  </si>
  <si>
    <t xml:space="preserve">E340</t>
  </si>
  <si>
    <t xml:space="preserve">Packed!</t>
  </si>
  <si>
    <t xml:space="preserve">1990-05-14</t>
  </si>
  <si>
    <t xml:space="preserve">E341</t>
  </si>
  <si>
    <t xml:space="preserve">Last of the Independents</t>
  </si>
  <si>
    <t xml:space="preserve">1994-05-09</t>
  </si>
  <si>
    <t xml:space="preserve">E342</t>
  </si>
  <si>
    <t xml:space="preserve">¡Viva El Amor!</t>
  </si>
  <si>
    <t xml:space="preserve">1999-05</t>
  </si>
  <si>
    <t xml:space="preserve">E343</t>
  </si>
  <si>
    <t xml:space="preserve">Loose Screw</t>
  </si>
  <si>
    <t xml:space="preserve">2002-11-12</t>
  </si>
  <si>
    <t xml:space="preserve">E344</t>
  </si>
  <si>
    <t xml:space="preserve">Break Up the Concrete</t>
  </si>
  <si>
    <t xml:space="preserve">2008-10-07</t>
  </si>
  <si>
    <t xml:space="preserve">E345</t>
  </si>
  <si>
    <t xml:space="preserve">Alone</t>
  </si>
  <si>
    <t xml:space="preserve">2016-10-21</t>
  </si>
  <si>
    <t xml:space="preserve">E346</t>
  </si>
  <si>
    <t xml:space="preserve">Hate for Sale</t>
  </si>
  <si>
    <t xml:space="preserve">2020-07-17</t>
  </si>
  <si>
    <t xml:space="preserve">US column dash in discography (did not chart); no RIAA cert; album page charts table has no US entry and does not state a US release (label BMG)</t>
  </si>
  <si>
    <t xml:space="preserve">E347</t>
  </si>
  <si>
    <t xml:space="preserve">Relentless</t>
  </si>
  <si>
    <t xml:space="preserve">2023-09-15</t>
  </si>
  <si>
    <t xml:space="preserve">US column dash in discography (did not chart); no RIAA cert; album page charts table has no US entry and does not state a US release (label Parlophone)</t>
  </si>
  <si>
    <t xml:space="preserve">E348</t>
  </si>
  <si>
    <t xml:space="preserve">Whenever You Need Somebody</t>
  </si>
  <si>
    <t xml:space="preserve">1987-11-16</t>
  </si>
  <si>
    <t xml:space="preserve">https://en.wikipedia.org/wiki/Rick_Astley_discography</t>
  </si>
  <si>
    <t xml:space="preserve">E349</t>
  </si>
  <si>
    <t xml:space="preserve">Hold Me in Your Arms</t>
  </si>
  <si>
    <t xml:space="preserve">1988-11-26</t>
  </si>
  <si>
    <t xml:space="preserve">E351</t>
  </si>
  <si>
    <t xml:space="preserve">Free</t>
  </si>
  <si>
    <t xml:space="preserve">1991-02-18</t>
  </si>
  <si>
    <t xml:space="preserve">E352</t>
  </si>
  <si>
    <t xml:space="preserve">Body &amp; Soul</t>
  </si>
  <si>
    <t xml:space="preserve">1993-09</t>
  </si>
  <si>
    <t xml:space="preserve">E353</t>
  </si>
  <si>
    <t xml:space="preserve">Keep It Turned On</t>
  </si>
  <si>
    <t xml:space="preserve">2001-12-03</t>
  </si>
  <si>
    <t xml:space="preserve">https://en.wikipedia.org/wiki/50_(Rick_Astley_album)</t>
  </si>
  <si>
    <t xml:space="preserve">Discography US dash; Keep It Turned On page says released in Germany only (not UK); 50 page says 50's US release was his first American release since 1993's Body &amp; Soul</t>
  </si>
  <si>
    <t xml:space="preserve">E354</t>
  </si>
  <si>
    <t xml:space="preserve">Portrait</t>
  </si>
  <si>
    <t xml:space="preserve">2005-10-17</t>
  </si>
  <si>
    <t xml:space="preserve">Discography US dash; 50 page says 50's 2016 US release was his first American release since 1993's Body &amp; Soul, so Portrait (2005) had no US release</t>
  </si>
  <si>
    <t xml:space="preserve">E355</t>
  </si>
  <si>
    <t xml:space="preserve">50</t>
  </si>
  <si>
    <t xml:space="preserve">2016-06-10</t>
  </si>
  <si>
    <t xml:space="preserve">Discography US dash (did not chart); album page says released in the US on 7 October 2016; no RIAA cert (UK Platinum only)</t>
  </si>
  <si>
    <t xml:space="preserve">E356</t>
  </si>
  <si>
    <t xml:space="preserve">Beautiful Life</t>
  </si>
  <si>
    <t xml:space="preserve">2018-07-13</t>
  </si>
  <si>
    <t xml:space="preserve">Discography US dash; album page lists only a UK release (BMG) and no US chart or RIAA cert; US release not stated either way</t>
  </si>
  <si>
    <t xml:space="preserve">E357</t>
  </si>
  <si>
    <t xml:space="preserve">Are We There Yet?</t>
  </si>
  <si>
    <t xml:space="preserve">2023-10-13</t>
  </si>
  <si>
    <t xml:space="preserve">Discography US dash; album page (BMG) names no release territories, no US chart or RIAA cert; US release not stated</t>
  </si>
  <si>
    <t xml:space="preserve">E358</t>
  </si>
  <si>
    <t xml:space="preserve">1979-02-28</t>
  </si>
  <si>
    <t xml:space="preserve">https://en.wikipedia.org/wiki/Rickie_Lee_Jones_discography</t>
  </si>
  <si>
    <t xml:space="preserve">E361</t>
  </si>
  <si>
    <t xml:space="preserve">Pirates</t>
  </si>
  <si>
    <t xml:space="preserve">1981-07-15</t>
  </si>
  <si>
    <t xml:space="preserve">E362</t>
  </si>
  <si>
    <t xml:space="preserve">The Magazine</t>
  </si>
  <si>
    <t xml:space="preserve">1984-09-12</t>
  </si>
  <si>
    <t xml:space="preserve">E363</t>
  </si>
  <si>
    <t xml:space="preserve">Flying Cowboys</t>
  </si>
  <si>
    <t xml:space="preserve">1989-09-26</t>
  </si>
  <si>
    <t xml:space="preserve">E364</t>
  </si>
  <si>
    <t xml:space="preserve">Pop Pop</t>
  </si>
  <si>
    <t xml:space="preserve">1991-09-24</t>
  </si>
  <si>
    <t xml:space="preserve">E365</t>
  </si>
  <si>
    <t xml:space="preserve">Traffic from Paradise</t>
  </si>
  <si>
    <t xml:space="preserve">1993-09-14</t>
  </si>
  <si>
    <t xml:space="preserve">E366</t>
  </si>
  <si>
    <t xml:space="preserve">Ghostyhead</t>
  </si>
  <si>
    <t xml:space="preserve">1997-06-17</t>
  </si>
  <si>
    <t xml:space="preserve">E367</t>
  </si>
  <si>
    <t xml:space="preserve">It's Like This</t>
  </si>
  <si>
    <t xml:space="preserve">2000-09-12</t>
  </si>
  <si>
    <t xml:space="preserve">E368</t>
  </si>
  <si>
    <t xml:space="preserve">The Evening of My Best Day</t>
  </si>
  <si>
    <t xml:space="preserve">2003-10-07</t>
  </si>
  <si>
    <t xml:space="preserve">E369</t>
  </si>
  <si>
    <t xml:space="preserve">The Sermon on Exposition Boulevard</t>
  </si>
  <si>
    <t xml:space="preserve">2007-02-06</t>
  </si>
  <si>
    <t xml:space="preserve">E370</t>
  </si>
  <si>
    <t xml:space="preserve">Balm in Gilead</t>
  </si>
  <si>
    <t xml:space="preserve">2009-11-03</t>
  </si>
  <si>
    <t xml:space="preserve">Dash in US column (did not chart on Billboard 200); no RIAA certification. Album page (https://en.wikipedia.org/wiki/Balm_in_Gilead_(album)) says it was released by Fantasy Records (a US label) but makes no explicit US release statement.</t>
  </si>
  <si>
    <t xml:space="preserve">E371</t>
  </si>
  <si>
    <t xml:space="preserve">The Devil You Know</t>
  </si>
  <si>
    <t xml:space="preserve">2012-09-18</t>
  </si>
  <si>
    <t xml:space="preserve">E372</t>
  </si>
  <si>
    <t xml:space="preserve">The Other Side of Desire</t>
  </si>
  <si>
    <t xml:space="preserve">2015-06-23</t>
  </si>
  <si>
    <t xml:space="preserve">E373</t>
  </si>
  <si>
    <t xml:space="preserve">Kicks</t>
  </si>
  <si>
    <t xml:space="preserve">2019-06-07</t>
  </si>
  <si>
    <t xml:space="preserve">Dash in US column (did not chart on Billboard 200); no RIAA certification. Album page (https://en.wikipedia.org/wiki/Kicks_(Rickie_Lee_Jones_album)) lists label TOSOD, no charts table and no US release statement.</t>
  </si>
  <si>
    <t xml:space="preserve">E374</t>
  </si>
  <si>
    <t xml:space="preserve">Pieces of Treasure</t>
  </si>
  <si>
    <t xml:space="preserve">2023-04-28</t>
  </si>
  <si>
    <t xml:space="preserve">Dash in US column (not on Billboard 200); no RIAA certification. Album page (https://en.wikipedia.org/wiki/Pieces_of_Treasure) shows it charted on Billboard's US Top Album Sales (71), a US chart, so treated as a US release (it was also Grammy-nominated); label BMG/Modern Recordings.</t>
  </si>
  <si>
    <t xml:space="preserve">E375</t>
  </si>
  <si>
    <t xml:space="preserve">https://en.wikipedia.org/wiki/Robbie_Dupree</t>
  </si>
  <si>
    <t xml:space="preserve">artist page text gives US No. 51; no RIAA cert stated</t>
  </si>
  <si>
    <t xml:space="preserve">E376</t>
  </si>
  <si>
    <t xml:space="preserve">Street Corner Heroes</t>
  </si>
  <si>
    <t xml:space="preserve">1981</t>
  </si>
  <si>
    <t xml:space="preserve">artist page text gives US No. 169; no RIAA cert stated</t>
  </si>
  <si>
    <t xml:space="preserve">E378</t>
  </si>
  <si>
    <t xml:space="preserve">Carried Away</t>
  </si>
  <si>
    <t xml:space="preserve">1989</t>
  </si>
  <si>
    <t xml:space="preserve">no chart position, certification or release territory stated on https://en.wikipedia.org/wiki/Robbie_Dupree (no discography table there; only the first two albums have chart positions in the text); sessiondays.com credits page also gives no release territory</t>
  </si>
  <si>
    <t xml:space="preserve">E379</t>
  </si>
  <si>
    <t xml:space="preserve">Walking on Water</t>
  </si>
  <si>
    <t xml:space="preserve">no chart position, certification or release territory stated on https://en.wikipedia.org/wiki/Robbie_Dupree (no discography table there; only the first two albums have chart positions in the text)</t>
  </si>
  <si>
    <t xml:space="preserve">E380</t>
  </si>
  <si>
    <t xml:space="preserve">Smoke and Mirrors</t>
  </si>
  <si>
    <t xml:space="preserve">1995</t>
  </si>
  <si>
    <t xml:space="preserve">E381</t>
  </si>
  <si>
    <t xml:space="preserve">Robbie Dupree with David Sancious</t>
  </si>
  <si>
    <t xml:space="preserve">2003</t>
  </si>
  <si>
    <t xml:space="preserve">E382</t>
  </si>
  <si>
    <t xml:space="preserve">Time and Tide</t>
  </si>
  <si>
    <t xml:space="preserve">2008</t>
  </si>
  <si>
    <t xml:space="preserve">no chart position, certification or release territory stated on https://en.wikipedia.org/wiki/Robbie_Dupree (no discography table there; only the first two albums have chart positions in the text); Wikipedia dates Time and Tide to 2010 (Spectra Records), not 2008 as in input</t>
  </si>
  <si>
    <t xml:space="preserve">E383</t>
  </si>
  <si>
    <t xml:space="preserve">Diamond Life</t>
  </si>
  <si>
    <t xml:space="preserve">1984-07-16</t>
  </si>
  <si>
    <t xml:space="preserve">https://en.wikipedia.org/wiki/Sade_discography</t>
  </si>
  <si>
    <t xml:space="preserve">E384</t>
  </si>
  <si>
    <t xml:space="preserve">Promise</t>
  </si>
  <si>
    <t xml:space="preserve">E387</t>
  </si>
  <si>
    <t xml:space="preserve">Stronger Than Pride</t>
  </si>
  <si>
    <t xml:space="preserve">1988-05</t>
  </si>
  <si>
    <t xml:space="preserve">E388</t>
  </si>
  <si>
    <t xml:space="preserve">Love Deluxe</t>
  </si>
  <si>
    <t xml:space="preserve">1992-10</t>
  </si>
  <si>
    <t xml:space="preserve">E389</t>
  </si>
  <si>
    <t xml:space="preserve">Lovers Rock</t>
  </si>
  <si>
    <t xml:space="preserve">2000-11-13</t>
  </si>
  <si>
    <t xml:space="preserve">E390</t>
  </si>
  <si>
    <t xml:space="preserve">Soldier of Love</t>
  </si>
  <si>
    <t xml:space="preserve">2010-02-05</t>
  </si>
  <si>
    <t xml:space="preserve">E391</t>
  </si>
  <si>
    <t xml:space="preserve">Take My Time</t>
  </si>
  <si>
    <t xml:space="preserve">1981-01-19</t>
  </si>
  <si>
    <t xml:space="preserve">https://en.wikipedia.org/wiki/Sheena_Easton_discography</t>
  </si>
  <si>
    <t xml:space="preserve">E392</t>
  </si>
  <si>
    <t xml:space="preserve">You Could Have Been with Me</t>
  </si>
  <si>
    <t xml:space="preserve">1981-09-21</t>
  </si>
  <si>
    <t xml:space="preserve">E395</t>
  </si>
  <si>
    <t xml:space="preserve">Madness, Money &amp; Music</t>
  </si>
  <si>
    <t xml:space="preserve">1982-09</t>
  </si>
  <si>
    <t xml:space="preserve">E396</t>
  </si>
  <si>
    <t xml:space="preserve">Best Kept Secret</t>
  </si>
  <si>
    <t xml:space="preserve">1983-08</t>
  </si>
  <si>
    <t xml:space="preserve">E397</t>
  </si>
  <si>
    <t xml:space="preserve">A Private Heaven</t>
  </si>
  <si>
    <t xml:space="preserve">1984-09-21</t>
  </si>
  <si>
    <t xml:space="preserve">https://en.wikipedia.org/wiki/A_Private_Heaven</t>
  </si>
  <si>
    <t xml:space="preserve">Discography lists US Gold and Platinum; album page certification table: United States (RIAA) Platinum; album page US Billboard 200 peak 15 confirms.</t>
  </si>
  <si>
    <t xml:space="preserve">E398</t>
  </si>
  <si>
    <t xml:space="preserve">Do You</t>
  </si>
  <si>
    <t xml:space="preserve">1985-11</t>
  </si>
  <si>
    <t xml:space="preserve">E399</t>
  </si>
  <si>
    <t xml:space="preserve">No Sound But a Heart</t>
  </si>
  <si>
    <t xml:space="preserve">1987-07-17</t>
  </si>
  <si>
    <t xml:space="preserve">https://en.wikipedia.org/wiki/No_Sound_But_a_Heart</t>
  </si>
  <si>
    <t xml:space="preserve">Did not chart on Billboard 200 (discography dash). Album page: 1987 US release was "hampered"; scheduled US dates (Feb and June 1987) not met; issued in Canada, Mexico and Asia; first official US availability was a 1999 One Way Records reissue. Coded "no" for the original release; recode to "yes" if later reissues count.</t>
  </si>
  <si>
    <t xml:space="preserve">E400</t>
  </si>
  <si>
    <t xml:space="preserve">The Lover in Me</t>
  </si>
  <si>
    <t xml:space="preserve">1988-11</t>
  </si>
  <si>
    <t xml:space="preserve">E401</t>
  </si>
  <si>
    <t xml:space="preserve">What Comes Naturally</t>
  </si>
  <si>
    <t xml:space="preserve">1991-04-16</t>
  </si>
  <si>
    <t xml:space="preserve">E402</t>
  </si>
  <si>
    <t xml:space="preserve">No Strings</t>
  </si>
  <si>
    <t xml:space="preserve">1993-08-13</t>
  </si>
  <si>
    <t xml:space="preserve">https://en.wikipedia.org/wiki/No_Strings_(album)</t>
  </si>
  <si>
    <t xml:space="preserve">Did not chart on Billboard 200 (discography dash); no RIAA. MCA release; album page lists only Japan Oricon chart and makes no statement about a US release.</t>
  </si>
  <si>
    <t xml:space="preserve">E403</t>
  </si>
  <si>
    <t xml:space="preserve">My Cherie</t>
  </si>
  <si>
    <t xml:space="preserve">1995-03-14</t>
  </si>
  <si>
    <t xml:space="preserve">https://en.wikipedia.org/wiki/My_Cherie</t>
  </si>
  <si>
    <t xml:space="preserve">E404</t>
  </si>
  <si>
    <t xml:space="preserve">Freedom</t>
  </si>
  <si>
    <t xml:space="preserve">1997-04-23</t>
  </si>
  <si>
    <t xml:space="preserve">https://en.wikipedia.org/wiki/Freedom_(Sheena_Easton_album)</t>
  </si>
  <si>
    <t xml:space="preserve">Did not chart on Billboard 200 (discography dash); no RIAA. Album page: "released only in Japan" (1997); re-released in the US on 20 Feb 2007 by Fuel Records. Coded "no" for the original release; recode to "yes" if later reissues count.</t>
  </si>
  <si>
    <t xml:space="preserve">E405</t>
  </si>
  <si>
    <t xml:space="preserve">Home</t>
  </si>
  <si>
    <t xml:space="preserve">1999-03-20</t>
  </si>
  <si>
    <t xml:space="preserve">https://en.wikipedia.org/wiki/Home_(Sheena_Easton_album)</t>
  </si>
  <si>
    <t xml:space="preserve">Did not chart on Billboard 200 (discography dash); no RIAA. Album page: released "for the Japanese market only".</t>
  </si>
  <si>
    <t xml:space="preserve">E406</t>
  </si>
  <si>
    <t xml:space="preserve">Fabulous</t>
  </si>
  <si>
    <t xml:space="preserve">https://en.wikipedia.org/wiki/Fabulous_(album)</t>
  </si>
  <si>
    <t xml:space="preserve">Did not chart on Billboard 200 (discography dash); no RIAA. Album page: "only released throughout continental Europe, Japan, Australia, and Argentina" (also UK); added to US streaming only in Aug 2021.</t>
  </si>
  <si>
    <t xml:space="preserve">E407</t>
  </si>
  <si>
    <t xml:space="preserve">The Glamorous Life</t>
  </si>
  <si>
    <t xml:space="preserve">1984-06-04</t>
  </si>
  <si>
    <t xml:space="preserve">https://en.wikipedia.org/wiki/Sheila_E._discography</t>
  </si>
  <si>
    <t xml:space="preserve">E409</t>
  </si>
  <si>
    <t xml:space="preserve">Romance 1600</t>
  </si>
  <si>
    <t xml:space="preserve">1985-08-26</t>
  </si>
  <si>
    <t xml:space="preserve">E410</t>
  </si>
  <si>
    <t xml:space="preserve">1987-02-24</t>
  </si>
  <si>
    <t xml:space="preserve">E411</t>
  </si>
  <si>
    <t xml:space="preserve">Sex Cymbal</t>
  </si>
  <si>
    <t xml:space="preserve">1991-04-10</t>
  </si>
  <si>
    <t xml:space="preserve">E412</t>
  </si>
  <si>
    <t xml:space="preserve">Writes of Passage</t>
  </si>
  <si>
    <t xml:space="preserve">2000-10-10</t>
  </si>
  <si>
    <t xml:space="preserve">Dash in US column (did not chart); no RIAA certification listed; no explicit US-release statement checked.</t>
  </si>
  <si>
    <t xml:space="preserve">E413</t>
  </si>
  <si>
    <t xml:space="preserve">Heaven</t>
  </si>
  <si>
    <t xml:space="preserve">2001-08-28</t>
  </si>
  <si>
    <t xml:space="preserve">E414</t>
  </si>
  <si>
    <t xml:space="preserve">Icon</t>
  </si>
  <si>
    <t xml:space="preserve">2013-11-08</t>
  </si>
  <si>
    <t xml:space="preserve">E415</t>
  </si>
  <si>
    <t xml:space="preserve">Iconic: Message 4 America</t>
  </si>
  <si>
    <t xml:space="preserve">2017-08-17</t>
  </si>
  <si>
    <t xml:space="preserve">E416</t>
  </si>
  <si>
    <t xml:space="preserve">Hella Fonk E</t>
  </si>
  <si>
    <t xml:space="preserve">2022</t>
  </si>
  <si>
    <t xml:space="preserve">E417</t>
  </si>
  <si>
    <t xml:space="preserve">Bailar</t>
  </si>
  <si>
    <t xml:space="preserve">2024-04-05</t>
  </si>
  <si>
    <t xml:space="preserve">E418</t>
  </si>
  <si>
    <t xml:space="preserve">Picture Book</t>
  </si>
  <si>
    <t xml:space="preserve">1985-10-11</t>
  </si>
  <si>
    <t xml:space="preserve">https://en.wikipedia.org/wiki/Simply_Red_discography</t>
  </si>
  <si>
    <t xml:space="preserve">E420</t>
  </si>
  <si>
    <t xml:space="preserve">Men and Women</t>
  </si>
  <si>
    <t xml:space="preserve">1987-03-09</t>
  </si>
  <si>
    <t xml:space="preserve">E421</t>
  </si>
  <si>
    <t xml:space="preserve">A New Flame</t>
  </si>
  <si>
    <t xml:space="preserve">1989-02-13</t>
  </si>
  <si>
    <t xml:space="preserve">E422</t>
  </si>
  <si>
    <t xml:space="preserve">Stars</t>
  </si>
  <si>
    <t xml:space="preserve">1991-09-30</t>
  </si>
  <si>
    <t xml:space="preserve">E423</t>
  </si>
  <si>
    <t xml:space="preserve">1995-10-09</t>
  </si>
  <si>
    <t xml:space="preserve">E424</t>
  </si>
  <si>
    <t xml:space="preserve">Blue</t>
  </si>
  <si>
    <t xml:space="preserve">1998-05-19</t>
  </si>
  <si>
    <t xml:space="preserve">E425</t>
  </si>
  <si>
    <t xml:space="preserve">Love and the Russian Winter</t>
  </si>
  <si>
    <t xml:space="preserve">1999-11-01</t>
  </si>
  <si>
    <t xml:space="preserve">E426</t>
  </si>
  <si>
    <t xml:space="preserve">2003-03-24</t>
  </si>
  <si>
    <t xml:space="preserve">E427</t>
  </si>
  <si>
    <t xml:space="preserve">Stay</t>
  </si>
  <si>
    <t xml:space="preserve">2007-03-12</t>
  </si>
  <si>
    <t xml:space="preserve">E430</t>
  </si>
  <si>
    <t xml:space="preserve">Big Love</t>
  </si>
  <si>
    <t xml:space="preserve">2015-05-29</t>
  </si>
  <si>
    <t xml:space="preserve">E431</t>
  </si>
  <si>
    <t xml:space="preserve">Blue Eyed Soul</t>
  </si>
  <si>
    <t xml:space="preserve">2019-11-08</t>
  </si>
  <si>
    <t xml:space="preserve">E432</t>
  </si>
  <si>
    <t xml:space="preserve">Time</t>
  </si>
  <si>
    <t xml:space="preserve">2023-05-26</t>
  </si>
  <si>
    <t xml:space="preserve">E433</t>
  </si>
  <si>
    <t xml:space="preserve">Club Classics Vol. One</t>
  </si>
  <si>
    <t xml:space="preserve">1989-04-10</t>
  </si>
  <si>
    <t xml:space="preserve">https://en.wikipedia.org/wiki/Soul_II_Soul_discography</t>
  </si>
  <si>
    <t xml:space="preserve">US edition titled Keep On Movin'. Album page (https://en.wikipedia.org/wiki/Club_Classics_Vol._One) confirms Billboard 200 peak 14 and RIAA 2× Platinum.</t>
  </si>
  <si>
    <t xml:space="preserve">E435</t>
  </si>
  <si>
    <t xml:space="preserve">Vol. II: 1990 – A New Decade</t>
  </si>
  <si>
    <t xml:space="preserve">1990-05-21</t>
  </si>
  <si>
    <t xml:space="preserve">E436</t>
  </si>
  <si>
    <t xml:space="preserve">Volume III Just Right</t>
  </si>
  <si>
    <t xml:space="preserve">1992-04-13</t>
  </si>
  <si>
    <t xml:space="preserve">E437</t>
  </si>
  <si>
    <t xml:space="preserve">Volume V Believe</t>
  </si>
  <si>
    <t xml:space="preserve">1995-07-31</t>
  </si>
  <si>
    <t xml:space="preserve">Dash in US (Billboard 200) column; label 10/Virgin, 31 July 1995. Marked yes because the same table shows it charting on the US R&amp;B/Hip-Hop Albums chart at 67 (component chart, used only as evidence of US availability, not as a peak). Change to unknown if a component-chart entry should not count.</t>
  </si>
  <si>
    <t xml:space="preserve">E438</t>
  </si>
  <si>
    <t xml:space="preserve">Time for Change</t>
  </si>
  <si>
    <t xml:space="preserve">1997-09-01</t>
  </si>
  <si>
    <t xml:space="preserve">Dash in both US and US R&amp;B/HH columns (dash means did not chart or not released); label Island, 1 September 1997; no album page or source stating a US release found.</t>
  </si>
  <si>
    <t xml:space="preserve">E441</t>
  </si>
  <si>
    <t xml:space="preserve">1981-02</t>
  </si>
  <si>
    <t xml:space="preserve">https://en.wikipedia.org/wiki/Stray_Cats_discography</t>
  </si>
  <si>
    <t xml:space="preserve">Dash in US column; no RIAA certification. Album page (https://en.wikipedia.org/wiki/Stray_Cats_(album)) says it 'was only issued in the United States after the success of the band's first American album' (Built for Speed), so it did come out in the US, but later than the 1981 UK release.</t>
  </si>
  <si>
    <t xml:space="preserve">E442</t>
  </si>
  <si>
    <t xml:space="preserve">Gonna Ball</t>
  </si>
  <si>
    <t xml:space="preserve">1981-11</t>
  </si>
  <si>
    <t xml:space="preserve">Dash in US column; no RIAA certification. Album page (https://en.wikipedia.org/wiki/Gonna_Ball) only says it was first released in the UK on Arista and calls Built for Speed (1982) the band's first American album; no explicit statement about a US release either way.</t>
  </si>
  <si>
    <t xml:space="preserve">E444</t>
  </si>
  <si>
    <t xml:space="preserve">Rant n' Rave with the Stray Cats</t>
  </si>
  <si>
    <t xml:space="preserve">1983-08-15</t>
  </si>
  <si>
    <t xml:space="preserve">E447</t>
  </si>
  <si>
    <t xml:space="preserve">Rock Therapy</t>
  </si>
  <si>
    <t xml:space="preserve">1986-08-22</t>
  </si>
  <si>
    <t xml:space="preserve">E450</t>
  </si>
  <si>
    <t xml:space="preserve">Blast Off!</t>
  </si>
  <si>
    <t xml:space="preserve">1989-03</t>
  </si>
  <si>
    <t xml:space="preserve">E451</t>
  </si>
  <si>
    <t xml:space="preserve">Let's Go Faster!</t>
  </si>
  <si>
    <t xml:space="preserve">1990-12-19</t>
  </si>
  <si>
    <t xml:space="preserve">Dash in US column; no RIAA certification. Discography album details: released 19 December 1990 on InsideOut (CD, LP), with no region note; the legend's dash covers both 'did not chart' and 'not released in that territory', so US release status is unclear.</t>
  </si>
  <si>
    <t xml:space="preserve">E453</t>
  </si>
  <si>
    <t xml:space="preserve">Choo Choo Hot Fish</t>
  </si>
  <si>
    <t xml:space="preserve">1992-05-22</t>
  </si>
  <si>
    <t xml:space="preserve">Dash in US column; no RIAA certification. Album page (https://en.wikipedia.org/wiki/Choo_Choo_Hot_Fish) gives only label JRS and 1992, plus a North American tour in support; no explicit US release statement.</t>
  </si>
  <si>
    <t xml:space="preserve">E454</t>
  </si>
  <si>
    <t xml:space="preserve">Original Cool</t>
  </si>
  <si>
    <t xml:space="preserve">Dash in US column; no RIAA certification. Discography album details: released 26 May 1993 on Essential (CD), with no region note; no source found stating whether it was or was not released in the US.</t>
  </si>
  <si>
    <t xml:space="preserve">E460</t>
  </si>
  <si>
    <t xml:space="preserve">40</t>
  </si>
  <si>
    <t xml:space="preserve">2019-05-24</t>
  </si>
  <si>
    <t xml:space="preserve">Album page (https://en.wikipedia.org/wiki/40_(Stray_Cats_album)) charts table confirms 'US Billboard 200: 93'. Label Surfdog Records. No RIAA certification mentioned.</t>
  </si>
  <si>
    <t xml:space="preserve">E461</t>
  </si>
  <si>
    <t xml:space="preserve">It's Better to Travel</t>
  </si>
  <si>
    <t xml:space="preserve">1987-05-11</t>
  </si>
  <si>
    <t xml:space="preserve">https://en.wikipedia.org/wiki/Swing_Out_Sister_discography</t>
  </si>
  <si>
    <t xml:space="preserve">Only BPI (UK) certification listed; no RIAA.</t>
  </si>
  <si>
    <t xml:space="preserve">E463</t>
  </si>
  <si>
    <t xml:space="preserve">Kaleidoscope World</t>
  </si>
  <si>
    <t xml:space="preserve">1989-05-08</t>
  </si>
  <si>
    <t xml:space="preserve">E464</t>
  </si>
  <si>
    <t xml:space="preserve">Get in Touch with Yourself</t>
  </si>
  <si>
    <t xml:space="preserve">1992-05-04</t>
  </si>
  <si>
    <t xml:space="preserve">E465</t>
  </si>
  <si>
    <t xml:space="preserve">The Living Return</t>
  </si>
  <si>
    <t xml:space="preserve">1994-08-10</t>
  </si>
  <si>
    <t xml:space="preserve">https://en.wikipedia.org/wiki/The_Living_Return</t>
  </si>
  <si>
    <t xml:space="preserve">Dash in US column of discography (did not chart); no RIAA. Album page (Mercury, Aug 1994) makes no statement about a US release.</t>
  </si>
  <si>
    <t xml:space="preserve">E466</t>
  </si>
  <si>
    <t xml:space="preserve">Shapes and Patterns</t>
  </si>
  <si>
    <t xml:space="preserve">1997-03-05</t>
  </si>
  <si>
    <t xml:space="preserve">https://en.wikipedia.org/wiki/Shapes_and_Patterns</t>
  </si>
  <si>
    <t xml:space="preserve">Dash in US column of discography (did not chart); no RIAA (only RIAJ Gold). Album page says first released in Japan March 1997, with Europe and the US the following year (1998); that claim carries a [citation needed] tag, but the page also quotes a Mercury executive on US promotion.</t>
  </si>
  <si>
    <t xml:space="preserve">E467</t>
  </si>
  <si>
    <t xml:space="preserve">Filth and Dreams</t>
  </si>
  <si>
    <t xml:space="preserve">1999-03-17</t>
  </si>
  <si>
    <t xml:space="preserve">https://en.wikipedia.org/wiki/Filth_and_Dreams</t>
  </si>
  <si>
    <t xml:space="preserve">Dash in US column (did not chart); no RIAA. Album page: released in Japan March 1999 and "unreleased elsewhere until 2012" (limited repressing sold at concerts/PledgeMusic), so originally Japan-only.</t>
  </si>
  <si>
    <t xml:space="preserve">E468</t>
  </si>
  <si>
    <t xml:space="preserve">Somewhere Deep in the Night</t>
  </si>
  <si>
    <t xml:space="preserve">2001-05</t>
  </si>
  <si>
    <t xml:space="preserve">https://en.wikipedia.org/wiki/Somewhere_Deep_in_the_Night</t>
  </si>
  <si>
    <t xml:space="preserve">Dash in US column (did not chart); no RIAA. Album page lists Japan (May 2001) and Europe (2002) releases only; Slant review of Where Our Love Grows (Oct 2004) calls that album the band's "first U.S. release in seven years", implying no US release of this album. Inferred, not stated directly.</t>
  </si>
  <si>
    <t xml:space="preserve">E469</t>
  </si>
  <si>
    <t xml:space="preserve">Where Our Love Grows</t>
  </si>
  <si>
    <t xml:space="preserve">2004-04-28</t>
  </si>
  <si>
    <t xml:space="preserve">Dash in US column (did not chart); no RIAA. US release confirmed by Slant review ("first U.S. release in seven years"; label Shanachie, 19 Oct 2004): https://www.slantmagazine.com/music/swing-out-sister-where-our-love-grows/</t>
  </si>
  <si>
    <t xml:space="preserve">E470</t>
  </si>
  <si>
    <t xml:space="preserve">Beautiful Mess</t>
  </si>
  <si>
    <t xml:space="preserve">2008-02</t>
  </si>
  <si>
    <t xml:space="preserve">https://en.wikipedia.org/wiki/Beautiful_Mess_(Swing_Out_Sister_album)</t>
  </si>
  <si>
    <t xml:space="preserve">Not on Billboard 200 (discography dash); reached No. 5 on Billboard Top Contemporary Jazz Albums (component chart, excluded). Album page: released in the US in May 2009 via Shanachie.</t>
  </si>
  <si>
    <t xml:space="preserve">E471</t>
  </si>
  <si>
    <t xml:space="preserve">Almost Persuaded</t>
  </si>
  <si>
    <t xml:space="preserve">2017-11</t>
  </si>
  <si>
    <t xml:space="preserve">https://en.wikipedia.org/wiki/Almost_Persuaded_(album)</t>
  </si>
  <si>
    <t xml:space="preserve">Not on Billboard 200 (discography dash); peaked No. 7 on Billboard US Jazz Albums (genre chart, excluded). us_release "yes" inferred from that US chart entry; no explicit US release statement found.</t>
  </si>
  <si>
    <t xml:space="preserve">E472</t>
  </si>
  <si>
    <t xml:space="preserve">1988</t>
  </si>
  <si>
    <t xml:space="preserve">https://en.wikipedia.org/wiki/Take_6</t>
  </si>
  <si>
    <t xml:space="preserve">cert listed as 'US: Platinum' in Take 6 discography table</t>
  </si>
  <si>
    <t xml:space="preserve">E474</t>
  </si>
  <si>
    <t xml:space="preserve">So Much 2 Say</t>
  </si>
  <si>
    <t xml:space="preserve">1990-08-31</t>
  </si>
  <si>
    <t xml:space="preserve">E475</t>
  </si>
  <si>
    <t xml:space="preserve">He Is Christmas</t>
  </si>
  <si>
    <t xml:space="preserve">1991-09-10</t>
  </si>
  <si>
    <t xml:space="preserve">E476</t>
  </si>
  <si>
    <t xml:space="preserve">Join the Band</t>
  </si>
  <si>
    <t xml:space="preserve">1994-06-28</t>
  </si>
  <si>
    <t xml:space="preserve">cert listed as 'US: Gold'</t>
  </si>
  <si>
    <t xml:space="preserve">E477</t>
  </si>
  <si>
    <t xml:space="preserve">Brothers</t>
  </si>
  <si>
    <t xml:space="preserve">1996-10-29</t>
  </si>
  <si>
    <t xml:space="preserve">US (BB200) column dash; no RIAA cert; table shows US R&amp;B 71, label Reprise. us_release=yes is based on a US Billboard genre-chart entry, not the Billboard 200; set to unknown if only the three listed criteria should count.</t>
  </si>
  <si>
    <t xml:space="preserve">E478</t>
  </si>
  <si>
    <t xml:space="preserve">So Cool</t>
  </si>
  <si>
    <t xml:space="preserve">US (BB200) column dash; no RIAA cert; table shows US R&amp;B 92, US Gospel 8, label Reprise. us_release=yes is based on a US Billboard genre-chart entry, not the Billboard 200; set to unknown if only the three listed criteria should count.</t>
  </si>
  <si>
    <t xml:space="preserve">E479</t>
  </si>
  <si>
    <t xml:space="preserve">We Wish You a Merry Christmas</t>
  </si>
  <si>
    <t xml:space="preserve">1999-10-05</t>
  </si>
  <si>
    <t xml:space="preserve">US (BB200) column dash; no RIAA cert; no US chart entries; label Reprise listed but no explicit US-release statement</t>
  </si>
  <si>
    <t xml:space="preserve">E480</t>
  </si>
  <si>
    <t xml:space="preserve">Beautiful World</t>
  </si>
  <si>
    <t xml:space="preserve">2002-05-21</t>
  </si>
  <si>
    <t xml:space="preserve">US (BB200) column dash; no RIAA cert; table shows US Gospel 14, label Warner Bros. us_release=yes is based on a US Billboard genre-chart entry, not the Billboard 200; set to unknown if only the three listed criteria should count.</t>
  </si>
  <si>
    <t xml:space="preserve">E481</t>
  </si>
  <si>
    <t xml:space="preserve">Feels Good</t>
  </si>
  <si>
    <t xml:space="preserve">2006-03-21</t>
  </si>
  <si>
    <t xml:space="preserve">US (BB200) column dash; no RIAA cert; table shows US Gospel 10, label Take 6 Records. us_release=yes is based on a US Billboard genre-chart entry, not the Billboard 200; set to unknown if only the three listed criteria should count.</t>
  </si>
  <si>
    <t xml:space="preserve">E482</t>
  </si>
  <si>
    <t xml:space="preserve">The Standard</t>
  </si>
  <si>
    <t xml:space="preserve">2008-09-30</t>
  </si>
  <si>
    <t xml:space="preserve">US (BB200) column dash; no RIAA cert; table shows US Gospel 6, US Jazz 2, label Heads Up. us_release=yes is based on a US Billboard genre-chart entry, not the Billboard 200; set to unknown if only the three listed criteria should count.</t>
  </si>
  <si>
    <t xml:space="preserve">E483</t>
  </si>
  <si>
    <t xml:space="preserve">The Most Wonderful Time of the Year</t>
  </si>
  <si>
    <t xml:space="preserve">2010-10-05</t>
  </si>
  <si>
    <t xml:space="preserve">US (BB200) column dash; no RIAA cert; table shows US R&amp;B 70, US Jazz 40. us_release=yes is based on a US Billboard genre-chart entry, not the Billboard 200; set to unknown if only the three listed criteria should count.</t>
  </si>
  <si>
    <t xml:space="preserve">E484</t>
  </si>
  <si>
    <t xml:space="preserve">One</t>
  </si>
  <si>
    <t xml:space="preserve">2012</t>
  </si>
  <si>
    <t xml:space="preserve">US (BB200) column dash; no RIAA cert; table shows US Gospel 15, label Shanachie. us_release=yes is based on a US Billboard genre-chart entry, not the Billboard 200; set to unknown if only the three listed criteria should count.</t>
  </si>
  <si>
    <t xml:space="preserve">E485</t>
  </si>
  <si>
    <t xml:space="preserve">Believe</t>
  </si>
  <si>
    <t xml:space="preserve">2016-03-25</t>
  </si>
  <si>
    <t xml:space="preserve">US (BB200) column dash; no RIAA cert; table shows US R&amp;B 25, US Gospel 9, US Jazz 2, label Sono. us_release=yes is based on a US Billboard genre-chart entry, not the Billboard 200; set to unknown if only the three listed criteria should count.</t>
  </si>
  <si>
    <t xml:space="preserve">E486</t>
  </si>
  <si>
    <t xml:space="preserve">Iconic</t>
  </si>
  <si>
    <t xml:space="preserve">2018-04-27</t>
  </si>
  <si>
    <t xml:space="preserve">US (BB200) column dash; no RIAA cert; table shows US R&amp;B 9, US Jazz 1. us_release=yes is based on a US Billboard genre-chart entry, not the Billboard 200; set to unknown if only the three listed criteria should count.</t>
  </si>
  <si>
    <t xml:space="preserve">E487</t>
  </si>
  <si>
    <t xml:space="preserve">Introducing the Hardline According to Terence Trent D'Arby</t>
  </si>
  <si>
    <t xml:space="preserve">1987-07-13</t>
  </si>
  <si>
    <t xml:space="preserve">https://en.wikipedia.org/wiki/Terence_Trent_D%27Arby_discography</t>
  </si>
  <si>
    <t xml:space="preserve">E489</t>
  </si>
  <si>
    <t xml:space="preserve">Neither Fish nor Flesh</t>
  </si>
  <si>
    <t xml:space="preserve">1989-10-23</t>
  </si>
  <si>
    <t xml:space="preserve">E490</t>
  </si>
  <si>
    <t xml:space="preserve">Symphony or Damn</t>
  </si>
  <si>
    <t xml:space="preserve">1993-05</t>
  </si>
  <si>
    <t xml:space="preserve">E491</t>
  </si>
  <si>
    <t xml:space="preserve">Vibrator</t>
  </si>
  <si>
    <t xml:space="preserve">1995-04-18</t>
  </si>
  <si>
    <t xml:space="preserve">E492</t>
  </si>
  <si>
    <t xml:space="preserve">Wildcard</t>
  </si>
  <si>
    <t xml:space="preserve">2001-10-11</t>
  </si>
  <si>
    <t xml:space="preserve">US column shows dash; page footnote says dash = unknown chart position or did not chart; no RIAA cert listed</t>
  </si>
  <si>
    <t xml:space="preserve">E493</t>
  </si>
  <si>
    <t xml:space="preserve">Angels &amp; Vampires – Volume I</t>
  </si>
  <si>
    <t xml:space="preserve">2005-10-08</t>
  </si>
  <si>
    <t xml:space="preserve">E494</t>
  </si>
  <si>
    <t xml:space="preserve">Angels &amp; Vampires – Volume II</t>
  </si>
  <si>
    <t xml:space="preserve">2006-04-29</t>
  </si>
  <si>
    <t xml:space="preserve">E495</t>
  </si>
  <si>
    <t xml:space="preserve">Nigor Mortis</t>
  </si>
  <si>
    <t xml:space="preserve">2009-05-20</t>
  </si>
  <si>
    <t xml:space="preserve">E496</t>
  </si>
  <si>
    <t xml:space="preserve">The Sphinx</t>
  </si>
  <si>
    <t xml:space="preserve">2011-03-15</t>
  </si>
  <si>
    <t xml:space="preserve">E497</t>
  </si>
  <si>
    <t xml:space="preserve">Return to Zooathalon</t>
  </si>
  <si>
    <t xml:space="preserve">2013-03-01</t>
  </si>
  <si>
    <t xml:space="preserve">E498</t>
  </si>
  <si>
    <t xml:space="preserve">The Rise of the Zugebrian Time Lords</t>
  </si>
  <si>
    <t xml:space="preserve">2015-10-09</t>
  </si>
  <si>
    <t xml:space="preserve">E499</t>
  </si>
  <si>
    <t xml:space="preserve">Prometheus &amp; Pandora</t>
  </si>
  <si>
    <t xml:space="preserve">2017-10</t>
  </si>
  <si>
    <t xml:space="preserve">E500</t>
  </si>
  <si>
    <t xml:space="preserve">Pandora's PlayHouse</t>
  </si>
  <si>
    <t xml:space="preserve">2021-03-15</t>
  </si>
  <si>
    <t xml:space="preserve">E501</t>
  </si>
  <si>
    <t xml:space="preserve">The Pegasus Project: Pegasus &amp; The Swan</t>
  </si>
  <si>
    <t xml:space="preserve">2024-05-11</t>
  </si>
  <si>
    <t xml:space="preserve">E502</t>
  </si>
  <si>
    <t xml:space="preserve">Greetings from Timbuk3</t>
  </si>
  <si>
    <t xml:space="preserve">1986-10</t>
  </si>
  <si>
    <t xml:space="preserve">https://en.wikipedia.org/wiki/Timbuk_3</t>
  </si>
  <si>
    <t xml:space="preserve">E504</t>
  </si>
  <si>
    <t xml:space="preserve">Eden Alley</t>
  </si>
  <si>
    <t xml:space="preserve">E505</t>
  </si>
  <si>
    <t xml:space="preserve">Edge of Allegiance</t>
  </si>
  <si>
    <t xml:space="preserve">Dash in US column (did not chart); no RIAA certification; label I.R.S. but no source explicitly states a US release (album page checked).</t>
  </si>
  <si>
    <t xml:space="preserve">E506</t>
  </si>
  <si>
    <t xml:space="preserve">Big Shot in the Dark</t>
  </si>
  <si>
    <t xml:space="preserve">E507</t>
  </si>
  <si>
    <t xml:space="preserve">A Hundred Lovers</t>
  </si>
  <si>
    <t xml:space="preserve">Dash in US column (did not chart); no RIAA certification; label High Street but no source explicitly states a US release (album page checked).</t>
  </si>
  <si>
    <t xml:space="preserve">E509</t>
  </si>
  <si>
    <t xml:space="preserve">Lōc-ed After Dark</t>
  </si>
  <si>
    <t xml:space="preserve">1989-01-23</t>
  </si>
  <si>
    <t xml:space="preserve">https://en.wikipedia.org/wiki/Tone_Loc</t>
  </si>
  <si>
    <t xml:space="preserve">E511</t>
  </si>
  <si>
    <t xml:space="preserve">Cool Hand Lōc</t>
  </si>
  <si>
    <t xml:space="preserve">1991-11-19</t>
  </si>
  <si>
    <t xml:space="preserve">Dash in US (Billboard 200) column; it charted only on US R&amp;B Albums (46), which is a US chart, so treated as a US release.</t>
  </si>
  <si>
    <t xml:space="preserve">E512</t>
  </si>
  <si>
    <t xml:space="preserve">Union</t>
  </si>
  <si>
    <t xml:space="preserve">1988-06-10</t>
  </si>
  <si>
    <t xml:space="preserve">https://en.wikipedia.org/wiki/Toni_Childs</t>
  </si>
  <si>
    <t xml:space="preserve">US peak 63 (also on https://en.wikipedia.org/wiki/Union_(Toni_Childs_album)). RIAA Gold taken from prose: Toni Childs article says it was certified gold by the RIAA in 1995, and the album article says certified Gold in the US; neither certifications table has an RIAA row, so treat Gold as moderately uncertain.</t>
  </si>
  <si>
    <t xml:space="preserve">E514</t>
  </si>
  <si>
    <t xml:space="preserve">House of Hope</t>
  </si>
  <si>
    <t xml:space="preserve">1991-06-25</t>
  </si>
  <si>
    <t xml:space="preserve">E515</t>
  </si>
  <si>
    <t xml:space="preserve">The Woman's Boat</t>
  </si>
  <si>
    <t xml:space="preserve">1994-05-24</t>
  </si>
  <si>
    <t xml:space="preserve">Did not chart in US per discography; no RIAA certification; no explicit US-release statement.</t>
  </si>
  <si>
    <t xml:space="preserve">E516</t>
  </si>
  <si>
    <t xml:space="preserve">Keep the Faith</t>
  </si>
  <si>
    <t xml:space="preserve">Did not chart in US; article states it was distributed for general release in the US by 429 Records (Savoy) as of January 2009.</t>
  </si>
  <si>
    <t xml:space="preserve">E517</t>
  </si>
  <si>
    <t xml:space="preserve">Citizens of the Planet</t>
  </si>
  <si>
    <t xml:space="preserve">Did not chart; label Big Mother Records; no US-release statement.</t>
  </si>
  <si>
    <t xml:space="preserve">E518</t>
  </si>
  <si>
    <t xml:space="preserve">1988-04-05</t>
  </si>
  <si>
    <t xml:space="preserve">https://en.wikipedia.org/wiki/Tracy_Chapman_discography</t>
  </si>
  <si>
    <t xml:space="preserve">E521</t>
  </si>
  <si>
    <t xml:space="preserve">Crossroads</t>
  </si>
  <si>
    <t xml:space="preserve">1989-10-03</t>
  </si>
  <si>
    <t xml:space="preserve">E522</t>
  </si>
  <si>
    <t xml:space="preserve">Matters of the Heart</t>
  </si>
  <si>
    <t xml:space="preserve">1992-04-28</t>
  </si>
  <si>
    <t xml:space="preserve">E523</t>
  </si>
  <si>
    <t xml:space="preserve">New Beginning</t>
  </si>
  <si>
    <t xml:space="preserve">1995-11-14</t>
  </si>
  <si>
    <t xml:space="preserve">E524</t>
  </si>
  <si>
    <t xml:space="preserve">Telling Stories</t>
  </si>
  <si>
    <t xml:space="preserve">2000-02-14</t>
  </si>
  <si>
    <t xml:space="preserve">E525</t>
  </si>
  <si>
    <t xml:space="preserve">Let It Rain</t>
  </si>
  <si>
    <t xml:space="preserve">2002-10-15</t>
  </si>
  <si>
    <t xml:space="preserve">E526</t>
  </si>
  <si>
    <t xml:space="preserve">Where You Live</t>
  </si>
  <si>
    <t xml:space="preserve">2005-09-13</t>
  </si>
  <si>
    <t xml:space="preserve">E527</t>
  </si>
  <si>
    <t xml:space="preserve">Our Bright Future</t>
  </si>
  <si>
    <t xml:space="preserve">2008-11-11</t>
  </si>
  <si>
    <t xml:space="preserve">E528</t>
  </si>
  <si>
    <t xml:space="preserve">The Right Stuff</t>
  </si>
  <si>
    <t xml:space="preserve">1988-02-02</t>
  </si>
  <si>
    <t xml:space="preserve">https://en.wikipedia.org/wiki/Vanessa_Williams_discography</t>
  </si>
  <si>
    <t xml:space="preserve">E530</t>
  </si>
  <si>
    <t xml:space="preserve">The Comfort Zone</t>
  </si>
  <si>
    <t xml:space="preserve">E531</t>
  </si>
  <si>
    <t xml:space="preserve">The Sweetest Days</t>
  </si>
  <si>
    <t xml:space="preserve">1994-12-06</t>
  </si>
  <si>
    <t xml:space="preserve">E532</t>
  </si>
  <si>
    <t xml:space="preserve">Star Bright</t>
  </si>
  <si>
    <t xml:space="preserve">1996-11-05</t>
  </si>
  <si>
    <t xml:space="preserve">E533</t>
  </si>
  <si>
    <t xml:space="preserve">Next</t>
  </si>
  <si>
    <t xml:space="preserve">1997-08-26</t>
  </si>
  <si>
    <t xml:space="preserve">E534</t>
  </si>
  <si>
    <t xml:space="preserve">Silver &amp; Gold</t>
  </si>
  <si>
    <t xml:space="preserve">2004-10-12</t>
  </si>
  <si>
    <t xml:space="preserve">E535</t>
  </si>
  <si>
    <t xml:space="preserve">Everlasting Love</t>
  </si>
  <si>
    <t xml:space="preserve">2005-01-25</t>
  </si>
  <si>
    <t xml:space="preserve">E536</t>
  </si>
  <si>
    <t xml:space="preserve">The Real Thing</t>
  </si>
  <si>
    <t xml:space="preserve">2009-06-02</t>
  </si>
  <si>
    <t xml:space="preserve">E537</t>
  </si>
  <si>
    <t xml:space="preserve">Survivor</t>
  </si>
  <si>
    <t xml:space="preserve">2024-08-23</t>
  </si>
  <si>
    <t xml:space="preserve">Discography US dash (did not chart); album page says released on her own label Mellian Music (WMG) on 23 Aug 2024 but names no territory; no RIAA cert</t>
  </si>
  <si>
    <t xml:space="preserve">Category</t>
  </si>
  <si>
    <t xml:space="preserve">Work</t>
  </si>
  <si>
    <t xml:space="preserve">Result</t>
  </si>
  <si>
    <t xml:space="preserve">Timing</t>
  </si>
  <si>
    <t xml:space="preserve">Best Rock Performance By A Duo Or Group With Vocal</t>
  </si>
  <si>
    <t xml:space="preserve">https://www.grammy.com/artists/asia/8282</t>
  </si>
  <si>
    <t xml:space="preserve">In A Big Country</t>
  </si>
  <si>
    <t xml:space="preserve">https://grammy.com/artists/big-country/7130</t>
  </si>
  <si>
    <t xml:space="preserve">Best Pop Performance By A Duo Or Group With Vocal</t>
  </si>
  <si>
    <t xml:space="preserve">Across The River</t>
  </si>
  <si>
    <t xml:space="preserve">https://www.grammy.com/artists/bruce-hornsby-and-range/8413</t>
  </si>
  <si>
    <t xml:space="preserve">Album Of The Year</t>
  </si>
  <si>
    <t xml:space="preserve">https://grammy.com/artists/christopher-cross/1933</t>
  </si>
  <si>
    <t xml:space="preserve">Best Pop Vocal Performance, Male</t>
  </si>
  <si>
    <t xml:space="preserve">Record Of The Year</t>
  </si>
  <si>
    <t xml:space="preserve">Sailing</t>
  </si>
  <si>
    <t xml:space="preserve">Song Of The Year</t>
  </si>
  <si>
    <t xml:space="preserve">Best Arrangement Accompanying Vocalist(s)</t>
  </si>
  <si>
    <t xml:space="preserve">Arthur's Theme (Best That You Can Do)</t>
  </si>
  <si>
    <t xml:space="preserve">Do You Really Want To Hurt Me</t>
  </si>
  <si>
    <t xml:space="preserve">https://www.grammy.com/artists/culture-club/14677/</t>
  </si>
  <si>
    <t xml:space="preserve">Best Pop Vocal Performance, Female</t>
  </si>
  <si>
    <t xml:space="preserve">Girls Just Want to Have Fun</t>
  </si>
  <si>
    <t xml:space="preserve">https://grammy.com/artists/cyndi-lauper/4198</t>
  </si>
  <si>
    <t xml:space="preserve">Time After Time</t>
  </si>
  <si>
    <t xml:space="preserve">Best Rock Vocal Performance, Female</t>
  </si>
  <si>
    <t xml:space="preserve">What a Thrill</t>
  </si>
  <si>
    <t xml:space="preserve">911</t>
  </si>
  <si>
    <t xml:space="preserve">Best Performance Music Video</t>
  </si>
  <si>
    <t xml:space="preserve">Cyndi Lauper in Paris</t>
  </si>
  <si>
    <t xml:space="preserve">I Drove All Night</t>
  </si>
  <si>
    <t xml:space="preserve">Best Dance Recording</t>
  </si>
  <si>
    <t xml:space="preserve">Disco Inferno</t>
  </si>
  <si>
    <t xml:space="preserve">Best Instrumental Arrangement Accompanying Vocalist(s)</t>
  </si>
  <si>
    <t xml:space="preserve">Unchained Melody</t>
  </si>
  <si>
    <t xml:space="preserve">Best Electronic/Dance Album</t>
  </si>
  <si>
    <t xml:space="preserve">Best Traditional Blues Album</t>
  </si>
  <si>
    <t xml:space="preserve">Best Musical Theater Album</t>
  </si>
  <si>
    <t xml:space="preserve">Kinky Boots</t>
  </si>
  <si>
    <t xml:space="preserve">Best Rock Vocal Performance By A Duo Or Group</t>
  </si>
  <si>
    <t xml:space="preserve">Sultans Of Swing</t>
  </si>
  <si>
    <t xml:space="preserve">https://www.grammy.com/artists/dire-straits/10580</t>
  </si>
  <si>
    <t xml:space="preserve">Brothers In Arms</t>
  </si>
  <si>
    <t xml:space="preserve">Money For Nothing</t>
  </si>
  <si>
    <t xml:space="preserve">Best Music Video, Short Form</t>
  </si>
  <si>
    <t xml:space="preserve">Dire Straits - Brothers In Arms</t>
  </si>
  <si>
    <t xml:space="preserve">Calling Elvis</t>
  </si>
  <si>
    <t xml:space="preserve">Best Video Album</t>
  </si>
  <si>
    <t xml:space="preserve">Eurythmics Sweet Dreams (The Video Album)</t>
  </si>
  <si>
    <t xml:space="preserve">https://www.grammy.com/artists/eurythmics/8215</t>
  </si>
  <si>
    <t xml:space="preserve">Best R&amp;B Performance By A Duo Or Group With Vocal</t>
  </si>
  <si>
    <t xml:space="preserve">Sisters Are Doin' It For Themselves</t>
  </si>
  <si>
    <t xml:space="preserve">Would I Lie To You?</t>
  </si>
  <si>
    <t xml:space="preserve">Missionary Man</t>
  </si>
  <si>
    <t xml:space="preserve">Best Music Video, Long Form</t>
  </si>
  <si>
    <t xml:space="preserve">We Two Are One Too</t>
  </si>
  <si>
    <t xml:space="preserve">Best R&amp;B Vocal Performance, Male</t>
  </si>
  <si>
    <t xml:space="preserve">You Are My Lady</t>
  </si>
  <si>
    <t xml:space="preserve">https://www.grammy.com/artists/freddie-jackson/3486</t>
  </si>
  <si>
    <t xml:space="preserve">Contemporary Folk Album</t>
  </si>
  <si>
    <t xml:space="preserve">https://www.grammy.com/artists/indigo-girls/13019</t>
  </si>
  <si>
    <t xml:space="preserve">Hammer And A Nail</t>
  </si>
  <si>
    <t xml:space="preserve">Back On The Bus, Y'all</t>
  </si>
  <si>
    <t xml:space="preserve">Rites Of Passage</t>
  </si>
  <si>
    <t xml:space="preserve">Shaming Of The Sun</t>
  </si>
  <si>
    <t xml:space="preserve">Fame</t>
  </si>
  <si>
    <t xml:space="preserve">https://grammy.com/artists/irene-cara/1395</t>
  </si>
  <si>
    <t xml:space="preserve">Flashdance... What a Feeling</t>
  </si>
  <si>
    <t xml:space="preserve">Best Album of Original Score Written for a Motion Picture or a Television Special</t>
  </si>
  <si>
    <t xml:space="preserve">Flashdance</t>
  </si>
  <si>
    <t xml:space="preserve">Album of the Year</t>
  </si>
  <si>
    <t xml:space="preserve">Flashdance (Original Soundtrack from the Motion Picture)</t>
  </si>
  <si>
    <t xml:space="preserve">Record of the Year</t>
  </si>
  <si>
    <t xml:space="preserve">One Hundred Ways</t>
  </si>
  <si>
    <t xml:space="preserve">https://www.grammy.com/artists/james-ingram/16870/</t>
  </si>
  <si>
    <t xml:space="preserve">Just Once</t>
  </si>
  <si>
    <t xml:space="preserve">How Do You Keep The Music Playing (with Patti Austin)</t>
  </si>
  <si>
    <t xml:space="preserve">Party Animal</t>
  </si>
  <si>
    <t xml:space="preserve">Best Rhythm &amp; Blues Song</t>
  </si>
  <si>
    <t xml:space="preserve">P.Y.T. (Pretty Young Thing)</t>
  </si>
  <si>
    <t xml:space="preserve">Yah Mo B There (with Michael McDonald)</t>
  </si>
  <si>
    <t xml:space="preserve">Yah Mo B There</t>
  </si>
  <si>
    <t xml:space="preserve">Somewhere Out There (with Linda Ronstadt)</t>
  </si>
  <si>
    <t xml:space="preserve">I Don't Have The Heart</t>
  </si>
  <si>
    <t xml:space="preserve">The Secret Garden (Sweet Seduction Suite) (with Al B. Sure!, El DeBarge, Barry White)</t>
  </si>
  <si>
    <t xml:space="preserve">Best Song Written Specifically For A Motion Picture Or For Television</t>
  </si>
  <si>
    <t xml:space="preserve">The Day I Fall In Love (From Beethoven's 2nd)</t>
  </si>
  <si>
    <t xml:space="preserve">Best Pop Collaboration With Vocals</t>
  </si>
  <si>
    <t xml:space="preserve">When You Love Someone (with Anita Baker)</t>
  </si>
  <si>
    <t xml:space="preserve">Best R&amp;B Vocal Performance, Female</t>
  </si>
  <si>
    <t xml:space="preserve">And I Am Telling You I'm Not Going</t>
  </si>
  <si>
    <t xml:space="preserve">https://en.wikipedia.org/wiki/Jennifer_Holliday</t>
  </si>
  <si>
    <t xml:space="preserve">Best Inspirational Performance</t>
  </si>
  <si>
    <t xml:space="preserve">Come Sunday</t>
  </si>
  <si>
    <t xml:space="preserve">Looking for a New Love</t>
  </si>
  <si>
    <t xml:space="preserve">https://en.wikipedia.org/wiki/Jody_Watley</t>
  </si>
  <si>
    <t xml:space="preserve">Best Country Performance By A Duo Or Group With Vocal</t>
  </si>
  <si>
    <t xml:space="preserve">Mama He's Crazy</t>
  </si>
  <si>
    <t xml:space="preserve">https://www.grammy.com/artists/judds/10610</t>
  </si>
  <si>
    <t xml:space="preserve">Grandpa (Tell Me 'Bout The Good Old Days)</t>
  </si>
  <si>
    <t xml:space="preserve">Give A Little Love</t>
  </si>
  <si>
    <t xml:space="preserve">Young Love</t>
  </si>
  <si>
    <t xml:space="preserve">Love Can Build A Bridge (album)</t>
  </si>
  <si>
    <t xml:space="preserve">Love Can Build A Bridge</t>
  </si>
  <si>
    <t xml:space="preserve">My Sharona</t>
  </si>
  <si>
    <t xml:space="preserve">https://www.grammy.com/artists/knack/8427</t>
  </si>
  <si>
    <t xml:space="preserve">https://grammy.com/artists/luther-vandross/6968</t>
  </si>
  <si>
    <t xml:space="preserve">Forever, For Always, For Love</t>
  </si>
  <si>
    <t xml:space="preserve">Give Me the Reason (with Nat Adderley Jr.)</t>
  </si>
  <si>
    <t xml:space="preserve">Any Love (with Marcus Miller)</t>
  </si>
  <si>
    <t xml:space="preserve">She Won't Talk to Me</t>
  </si>
  <si>
    <t xml:space="preserve">Here and Now</t>
  </si>
  <si>
    <t xml:space="preserve">Power of Love / Love Power (with Marcus Miller and Teddy Vann)</t>
  </si>
  <si>
    <t xml:space="preserve">Best R&amp;B Performance by a Duo or Group with Vocal</t>
  </si>
  <si>
    <t xml:space="preserve">Doctor's Orders (with Aretha Franklin)</t>
  </si>
  <si>
    <t xml:space="preserve">The Best Things in Life Are Free (with Janet Jackson)</t>
  </si>
  <si>
    <t xml:space="preserve">How Deep Is Your Love</t>
  </si>
  <si>
    <t xml:space="preserve">Heaven Knows (with Reed Vertelney)</t>
  </si>
  <si>
    <t xml:space="preserve">Little Miracles (Happen Every Day) (with Marcus Miller)</t>
  </si>
  <si>
    <t xml:space="preserve">Best Male R&amp;B Vocal Performance</t>
  </si>
  <si>
    <t xml:space="preserve">Always and Forever</t>
  </si>
  <si>
    <t xml:space="preserve">Best Male Pop Vocal Performance</t>
  </si>
  <si>
    <t xml:space="preserve">Love the One You're With</t>
  </si>
  <si>
    <t xml:space="preserve">Best Pop Vocal Collaboration</t>
  </si>
  <si>
    <t xml:space="preserve">Endless Love (with Mariah Carey)</t>
  </si>
  <si>
    <t xml:space="preserve">Best R&amp;B Album</t>
  </si>
  <si>
    <t xml:space="preserve">Your Secret Love (with Reed Vertelney)</t>
  </si>
  <si>
    <t xml:space="preserve">When You Call On Me / Baby That's When I Come Runnin'</t>
  </si>
  <si>
    <t xml:space="preserve">Best Traditional R&amp;B Vocal Performance</t>
  </si>
  <si>
    <t xml:space="preserve">Any Day Now</t>
  </si>
  <si>
    <t xml:space="preserve">Best R&amp;B Performance by a Duo or Group with Vocals</t>
  </si>
  <si>
    <t xml:space="preserve">The Closer I Get To You</t>
  </si>
  <si>
    <t xml:space="preserve">Song of the Year</t>
  </si>
  <si>
    <t xml:space="preserve">Dance With My Father (with Richard Marx)</t>
  </si>
  <si>
    <t xml:space="preserve">Best R&amp;B Song</t>
  </si>
  <si>
    <t xml:space="preserve">Dance With My Father</t>
  </si>
  <si>
    <t xml:space="preserve">Got You Home</t>
  </si>
  <si>
    <t xml:space="preserve">Brass In Pocket (I'm Special)</t>
  </si>
  <si>
    <t xml:space="preserve">https://www.grammy.com/artists/chrissie-hynde/3448/</t>
  </si>
  <si>
    <t xml:space="preserve">Best Rock Instrumental Performance</t>
  </si>
  <si>
    <t xml:space="preserve">Space Invader</t>
  </si>
  <si>
    <t xml:space="preserve">I'll Stand By You</t>
  </si>
  <si>
    <t xml:space="preserve">Chuck E.'s In Love</t>
  </si>
  <si>
    <t xml:space="preserve">https://www.grammy.com/artists/rickie-lee-jones/3513</t>
  </si>
  <si>
    <t xml:space="preserve">The Last Chance Texaco</t>
  </si>
  <si>
    <t xml:space="preserve">Best Jazz Vocal Performance, Female</t>
  </si>
  <si>
    <t xml:space="preserve">Autumn Leaves</t>
  </si>
  <si>
    <t xml:space="preserve">Best Jazz Vocal Performance, Duo or Group</t>
  </si>
  <si>
    <t xml:space="preserve">Makin' Whoopee (with Dr. John)</t>
  </si>
  <si>
    <t xml:space="preserve">Best Traditional Pop Vocal Album</t>
  </si>
  <si>
    <t xml:space="preserve">Pieces Of Treasure</t>
  </si>
  <si>
    <t xml:space="preserve">https://grammy.com/artists/sade/8051</t>
  </si>
  <si>
    <t xml:space="preserve">No Ordinary Love</t>
  </si>
  <si>
    <t xml:space="preserve">Please Send Me Someone To Love</t>
  </si>
  <si>
    <t xml:space="preserve">Best Pop Vocal Album</t>
  </si>
  <si>
    <t xml:space="preserve">Best Female Pop Vocal Performance</t>
  </si>
  <si>
    <t xml:space="preserve">By Your Side</t>
  </si>
  <si>
    <t xml:space="preserve">Best R&amp;B Performance By A Duo Or Group With Vocals</t>
  </si>
  <si>
    <t xml:space="preserve">Soldier Of Love</t>
  </si>
  <si>
    <t xml:space="preserve">Best Pop Performance By A Duo Or Group With Vocals</t>
  </si>
  <si>
    <t xml:space="preserve">Babyfather</t>
  </si>
  <si>
    <t xml:space="preserve">Best Long Form Music Video</t>
  </si>
  <si>
    <t xml:space="preserve">Bring Me Home - Live 2011</t>
  </si>
  <si>
    <t xml:space="preserve">For Your Eyes Only</t>
  </si>
  <si>
    <t xml:space="preserve">https://www.grammy.com/artists/sheena-easton/9660</t>
  </si>
  <si>
    <t xml:space="preserve">Telefone (Long Distance Love Affair)</t>
  </si>
  <si>
    <t xml:space="preserve">Best Mexican-American Performance</t>
  </si>
  <si>
    <t xml:space="preserve">Me Gustas Tal Como Eres (with Luis Miguel)</t>
  </si>
  <si>
    <t xml:space="preserve">Strut</t>
  </si>
  <si>
    <t xml:space="preserve">U Got The Look (with Prince)</t>
  </si>
  <si>
    <t xml:space="preserve">Best R&amp;B Instrumental Performance</t>
  </si>
  <si>
    <t xml:space="preserve">Shortberry Strawcake</t>
  </si>
  <si>
    <t xml:space="preserve">https://grammy.com/artists/sheila-e/2014</t>
  </si>
  <si>
    <t xml:space="preserve">Best Tropical Latin Album</t>
  </si>
  <si>
    <t xml:space="preserve">Best Global Music Performance</t>
  </si>
  <si>
    <t xml:space="preserve">Bemba Colorá</t>
  </si>
  <si>
    <t xml:space="preserve">Holding Back The Years</t>
  </si>
  <si>
    <t xml:space="preserve">https://www.grammy.com/artists/tony-bowers/929/</t>
  </si>
  <si>
    <t xml:space="preserve">If You Don't Know Me By Now</t>
  </si>
  <si>
    <t xml:space="preserve">Back to Life (However Do You Want Me)</t>
  </si>
  <si>
    <t xml:space="preserve">https://en.wikipedia.org/wiki/Soul_II_Soul</t>
  </si>
  <si>
    <t xml:space="preserve">African Dance</t>
  </si>
  <si>
    <t xml:space="preserve">Mood</t>
  </si>
  <si>
    <t xml:space="preserve">Breakout</t>
  </si>
  <si>
    <t xml:space="preserve">https://www.grammy.com/artists/swing-out-sister/13129</t>
  </si>
  <si>
    <t xml:space="preserve">Best Soul Gospel Performance By A Duo, Group, Choir Or Chorus</t>
  </si>
  <si>
    <t xml:space="preserve">https://www.grammy.com/artists/take-6/13130</t>
  </si>
  <si>
    <t xml:space="preserve">Best Jazz Vocal Performance, Duo Or Group</t>
  </si>
  <si>
    <t xml:space="preserve">Spread Love</t>
  </si>
  <si>
    <t xml:space="preserve">Like The Whole World's Watching</t>
  </si>
  <si>
    <t xml:space="preserve">Best Gospel Vocal Performance By A Duo, Group, Choir Or Chorus</t>
  </si>
  <si>
    <t xml:space="preserve">The Savior Is Waiting</t>
  </si>
  <si>
    <t xml:space="preserve">Best Contemporary Soul Gospel Album</t>
  </si>
  <si>
    <t xml:space="preserve">Best Jazz Vocal Performance</t>
  </si>
  <si>
    <t xml:space="preserve">I'm Always Chasing Rainbows</t>
  </si>
  <si>
    <t xml:space="preserve">Biggest Part Of Me</t>
  </si>
  <si>
    <t xml:space="preserve">Join The Band</t>
  </si>
  <si>
    <t xml:space="preserve">All I Need (Is A Chance)</t>
  </si>
  <si>
    <t xml:space="preserve">When You Wish Upon A Star</t>
  </si>
  <si>
    <t xml:space="preserve">Best Instrumental Arrangement With Accompanying Vocal(s)</t>
  </si>
  <si>
    <t xml:space="preserve">You Don't Have To Be Afraid</t>
  </si>
  <si>
    <t xml:space="preserve">Love's In Need Of Love Today (with Stevie Wonder)</t>
  </si>
  <si>
    <t xml:space="preserve">Moon River (with Stevie Wonder)</t>
  </si>
  <si>
    <t xml:space="preserve">Best Gospel Performance</t>
  </si>
  <si>
    <t xml:space="preserve">Shall We Gather At The River</t>
  </si>
  <si>
    <t xml:space="preserve">Introducing The Hardline According To Terence Trent D'Arby</t>
  </si>
  <si>
    <t xml:space="preserve">https://www.grammy.com/artists/terence-trent-darby/12310/</t>
  </si>
  <si>
    <t xml:space="preserve">A Change Is Gonna Come (with Booker T. &amp; The MG's)</t>
  </si>
  <si>
    <t xml:space="preserve">Best Rap Performance</t>
  </si>
  <si>
    <t xml:space="preserve">Funky Cold Medina</t>
  </si>
  <si>
    <t xml:space="preserve">https://grammy.com/artists/tone-loc/7213</t>
  </si>
  <si>
    <t xml:space="preserve">Don't Walk Away</t>
  </si>
  <si>
    <t xml:space="preserve">https://www.grammy.com/artists/toni-childs/10935</t>
  </si>
  <si>
    <t xml:space="preserve">Best Female Rock Vocal Performance</t>
  </si>
  <si>
    <t xml:space="preserve">Lay Down Your Pain</t>
  </si>
  <si>
    <t xml:space="preserve">Fast Car</t>
  </si>
  <si>
    <t xml:space="preserve">https://www.grammy.com/artists/tracy-chapman/878/</t>
  </si>
  <si>
    <t xml:space="preserve">Best Contemporary Folk Recording</t>
  </si>
  <si>
    <t xml:space="preserve">Give Me One Reason</t>
  </si>
  <si>
    <t xml:space="preserve">Best Rock Song</t>
  </si>
  <si>
    <t xml:space="preserve">Best Pop Album</t>
  </si>
  <si>
    <t xml:space="preserve">Best Contemporary Folk Album</t>
  </si>
  <si>
    <t xml:space="preserve">https://www.grammy.com/artists/vanessa-williams/7916/</t>
  </si>
  <si>
    <t xml:space="preserve">Dreamin'</t>
  </si>
  <si>
    <t xml:space="preserve">Runnin' Back To You</t>
  </si>
  <si>
    <t xml:space="preserve">Save The Best For Last</t>
  </si>
  <si>
    <t xml:space="preserve">Love Is (with Brian McKnight)</t>
  </si>
  <si>
    <t xml:space="preserve">Colors Of The Wind</t>
  </si>
  <si>
    <t xml:space="preserve">Best Female R&amp;B Vocal Performance</t>
  </si>
  <si>
    <t xml:space="preserve">The Way That You Love</t>
  </si>
  <si>
    <t xml:space="preserve">Best Pop/Contemporary Gospel Album</t>
  </si>
  <si>
    <t xml:space="preserve">Breakup</t>
  </si>
  <si>
    <t xml:space="preserve">Breakup year</t>
  </si>
  <si>
    <t xml:space="preserve">Reunion</t>
  </si>
  <si>
    <t xml:space="preserve">Reunion year</t>
  </si>
  <si>
    <t xml:space="preserve">Years out counted</t>
  </si>
  <si>
    <t xml:space="preserve">1998-12-11</t>
  </si>
  <si>
    <t xml:space="preserve">2009-10-15</t>
  </si>
  <si>
    <t xml:space="preserve">2015</t>
  </si>
  <si>
    <t xml:space="preserve">2000-10</t>
  </si>
  <si>
    <t xml:space="preserve">2010-12</t>
  </si>
  <si>
    <t xml:space="preserve">2022-04-06</t>
  </si>
  <si>
    <t xml:space="preserve">1998</t>
  </si>
  <si>
    <t xml:space="preserve">2002</t>
  </si>
  <si>
    <t xml:space="preserve">1988-09</t>
  </si>
  <si>
    <t xml:space="preserve">1991-08-19</t>
  </si>
  <si>
    <t xml:space="preserve">1990</t>
  </si>
  <si>
    <t xml:space="preserve">1999</t>
  </si>
  <si>
    <t xml:space="preserve">2004-11-11</t>
  </si>
  <si>
    <t xml:space="preserve">1985-05</t>
  </si>
  <si>
    <t xml:space="preserve">2023</t>
  </si>
  <si>
    <t xml:space="preserve">2025-04-11</t>
  </si>
  <si>
    <t xml:space="preserve">1990-10</t>
  </si>
  <si>
    <t xml:space="preserve">1999-12-31</t>
  </si>
  <si>
    <t xml:space="preserve">2000</t>
  </si>
  <si>
    <t xml:space="preserve">2010-11-26</t>
  </si>
  <si>
    <t xml:space="preserve">1996</t>
  </si>
  <si>
    <t xml:space="preserve">2004</t>
  </si>
  <si>
    <t xml:space="preserve">2010-09-24</t>
  </si>
  <si>
    <t xml:space="preserve">1985-06</t>
  </si>
  <si>
    <t xml:space="preserve">2001</t>
  </si>
  <si>
    <t xml:space="preserve">1992-09-13</t>
  </si>
  <si>
    <t xml:space="preserve">2013</t>
  </si>
  <si>
    <t xml:space="preserve">2007-10</t>
  </si>
  <si>
    <t xml:space="preserve">2015-04-21</t>
  </si>
  <si>
    <t xml:space="preserve">2006</t>
  </si>
  <si>
    <t xml:space="preserve">2018</t>
  </si>
</sst>
</file>

<file path=xl/styles.xml><?xml version="1.0" encoding="utf-8"?>
<styleSheet xmlns="http://schemas.openxmlformats.org/spreadsheetml/2006/main">
  <numFmts count="4">
    <numFmt numFmtId="164" formatCode="General"/>
    <numFmt numFmtId="165" formatCode="yyyy\-mm\-dd"/>
    <numFmt numFmtId="166" formatCode="0.0"/>
    <numFmt numFmtId="167" formatCode="0"/>
  </numFmts>
  <fonts count="7">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E7F1FB"/>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E7F1FB"/>
          <bgColor rgb="FF000000"/>
        </patternFill>
      </fill>
    </dxf>
    <dxf>
      <fill>
        <patternFill patternType="solid">
          <bgColor rgb="FF000000"/>
        </patternFill>
      </fill>
    </dxf>
  </dxfs>
  <colors>
    <indexedColors>
      <rgbColor rgb="FF000000"/>
      <rgbColor rgb="FFE7F1FB"/>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44" hidden="false" customHeight="false" outlineLevel="0" collapsed="false">
      <c r="A1" s="1" t="s">
        <v>0</v>
      </c>
      <c r="B1" s="2"/>
    </row>
    <row r="2" customFormat="false" ht="35.05" hidden="false" customHeight="false" outlineLevel="0" collapsed="false">
      <c r="A2" s="3" t="s">
        <v>1</v>
      </c>
      <c r="B2" s="2" t="s">
        <v>2</v>
      </c>
    </row>
    <row r="3" customFormat="false" ht="35.05" hidden="false" customHeight="false" outlineLevel="0" collapsed="false">
      <c r="A3" s="3" t="s">
        <v>3</v>
      </c>
      <c r="B3" s="2" t="s">
        <v>4</v>
      </c>
    </row>
    <row r="4" customFormat="false" ht="23.85" hidden="false" customHeight="false" outlineLevel="0" collapsed="false">
      <c r="A4" s="3" t="s">
        <v>5</v>
      </c>
      <c r="B4" s="2" t="s">
        <v>6</v>
      </c>
    </row>
    <row r="5" customFormat="false" ht="23.85" hidden="false" customHeight="false" outlineLevel="0" collapsed="false">
      <c r="A5" s="3" t="s">
        <v>7</v>
      </c>
      <c r="B5" s="2" t="s">
        <v>8</v>
      </c>
    </row>
    <row r="6" customFormat="false" ht="23.85" hidden="false" customHeight="false" outlineLevel="0" collapsed="false">
      <c r="A6" s="3" t="s">
        <v>9</v>
      </c>
      <c r="B6" s="2" t="s">
        <v>10</v>
      </c>
    </row>
    <row r="7" customFormat="false" ht="35.05" hidden="false" customHeight="false" outlineLevel="0" collapsed="false">
      <c r="A7" s="3" t="s">
        <v>11</v>
      </c>
      <c r="B7" s="2" t="s">
        <v>12</v>
      </c>
    </row>
    <row r="8" customFormat="false" ht="35.05" hidden="false" customHeight="false" outlineLevel="0" collapsed="false">
      <c r="A8" s="3" t="s">
        <v>13</v>
      </c>
      <c r="B8" s="2" t="s">
        <v>14</v>
      </c>
    </row>
    <row r="9" customFormat="false" ht="35.05" hidden="false" customHeight="false" outlineLevel="0" collapsed="false">
      <c r="A9" s="3" t="s">
        <v>15</v>
      </c>
      <c r="B9" s="2" t="s">
        <v>16</v>
      </c>
    </row>
    <row r="10" customFormat="false" ht="46.25" hidden="false" customHeight="false" outlineLevel="0" collapsed="false">
      <c r="A10" s="3" t="s">
        <v>17</v>
      </c>
      <c r="B10" s="2" t="s">
        <v>18</v>
      </c>
    </row>
    <row r="11" customFormat="false" ht="15" hidden="false" customHeight="false" outlineLevel="0" collapsed="false">
      <c r="A11" s="3" t="s">
        <v>19</v>
      </c>
      <c r="B11" s="2" t="s">
        <v>20</v>
      </c>
    </row>
    <row r="12" customFormat="false" ht="15" hidden="false" customHeight="false" outlineLevel="0" collapsed="false">
      <c r="A12" s="3" t="s">
        <v>21</v>
      </c>
      <c r="B12"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9"/>
    <col collapsed="false" customWidth="true" hidden="false" outlineLevel="0" max="4" min="4" style="0" width="12"/>
    <col collapsed="false" customWidth="true" hidden="false" outlineLevel="0" max="5" min="5" style="0" width="9"/>
    <col collapsed="false" customWidth="true" hidden="false" outlineLevel="0" max="6" min="6" style="0" width="10"/>
    <col collapsed="false" customWidth="true" hidden="false" outlineLevel="0" max="7" min="7" style="0" width="9"/>
    <col collapsed="false" customWidth="true" hidden="false" outlineLevel="0" max="11" min="8" style="0" width="10"/>
    <col collapsed="false" customWidth="true" hidden="false" outlineLevel="0" max="13" min="12" style="0" width="9"/>
    <col collapsed="false" customWidth="true" hidden="false" outlineLevel="0" max="14" min="14" style="0" width="10"/>
    <col collapsed="false" customWidth="true" hidden="false" outlineLevel="0" max="15" min="15" style="0" width="11"/>
    <col collapsed="false" customWidth="true" hidden="false" outlineLevel="0" max="17" min="16" style="0" width="10"/>
    <col collapsed="false" customWidth="true" hidden="false" outlineLevel="0" max="18" min="18" style="0" width="11"/>
    <col collapsed="false" customWidth="true" hidden="false" outlineLevel="0" max="19" min="19" style="0" width="10"/>
    <col collapsed="false" customWidth="true" hidden="false" outlineLevel="0" max="20" min="20" style="0" width="11"/>
    <col collapsed="false" customWidth="true" hidden="false" outlineLevel="0" max="21" min="21" style="0" width="10"/>
    <col collapsed="false" customWidth="true" hidden="false" outlineLevel="0" max="22" min="22" style="0" width="9"/>
    <col collapsed="false" customWidth="true" hidden="false" outlineLevel="0" max="23" min="23" style="0" width="10"/>
    <col collapsed="false" customWidth="true" hidden="false" outlineLevel="0" max="24" min="24" style="0" width="9"/>
    <col collapsed="false" customWidth="true" hidden="false" outlineLevel="0" max="25" min="25" style="0" width="10"/>
    <col collapsed="false" customWidth="true" hidden="false" outlineLevel="0" max="26" min="26" style="0" width="60"/>
  </cols>
  <sheetData>
    <row r="1" customFormat="false" ht="79.85" hidden="false" customHeight="false" outlineLevel="0" collapsed="false">
      <c r="A1" s="4" t="s">
        <v>23</v>
      </c>
      <c r="B1" s="4" t="s">
        <v>24</v>
      </c>
      <c r="C1" s="4" t="s">
        <v>25</v>
      </c>
      <c r="D1" s="4" t="s">
        <v>26</v>
      </c>
      <c r="E1" s="4" t="s">
        <v>27</v>
      </c>
      <c r="F1" s="4" t="s">
        <v>28</v>
      </c>
      <c r="G1" s="4" t="s">
        <v>29</v>
      </c>
      <c r="H1" s="4" t="s">
        <v>30</v>
      </c>
      <c r="I1" s="4" t="s">
        <v>31</v>
      </c>
      <c r="J1" s="4" t="s">
        <v>32</v>
      </c>
      <c r="K1" s="4" t="s">
        <v>33</v>
      </c>
      <c r="L1" s="4" t="s">
        <v>34</v>
      </c>
      <c r="M1" s="4" t="s">
        <v>35</v>
      </c>
      <c r="N1" s="4" t="s">
        <v>36</v>
      </c>
      <c r="O1" s="4" t="s">
        <v>37</v>
      </c>
      <c r="P1" s="4" t="s">
        <v>38</v>
      </c>
      <c r="Q1" s="4" t="s">
        <v>39</v>
      </c>
      <c r="R1" s="4" t="s">
        <v>40</v>
      </c>
      <c r="S1" s="4" t="s">
        <v>41</v>
      </c>
      <c r="T1" s="4" t="s">
        <v>42</v>
      </c>
      <c r="U1" s="4" t="s">
        <v>43</v>
      </c>
      <c r="V1" s="4" t="s">
        <v>44</v>
      </c>
      <c r="W1" s="4" t="s">
        <v>45</v>
      </c>
      <c r="X1" s="4" t="s">
        <v>46</v>
      </c>
      <c r="Y1" s="4" t="s">
        <v>47</v>
      </c>
      <c r="Z1" s="4" t="s">
        <v>48</v>
      </c>
    </row>
    <row r="2" customFormat="false" ht="15" hidden="false" customHeight="false" outlineLevel="0" collapsed="false">
      <c r="A2" s="5" t="s">
        <v>49</v>
      </c>
      <c r="B2" s="5" t="s">
        <v>50</v>
      </c>
      <c r="C2" s="5" t="s">
        <v>51</v>
      </c>
      <c r="D2" s="6" t="n">
        <v>31468</v>
      </c>
      <c r="E2" s="5" t="n">
        <f aca="false">YEAR(D2)</f>
        <v>1986</v>
      </c>
      <c r="F2" s="5" t="s">
        <v>52</v>
      </c>
      <c r="G2" s="5" t="n">
        <f aca="false">COUNTIFS(Albums!$B$2:$B$406,B2)</f>
        <v>11</v>
      </c>
      <c r="H2" s="5" t="n">
        <f aca="false">COUNTIFS(Albums!$B$2:$B$406,B2,Albums!$H$2:$H$406,"yes")</f>
        <v>10</v>
      </c>
      <c r="I2" s="5" t="n">
        <f aca="false">COUNTIFS(Albums!$B$2:$B$406,B2,Albums!$I$2:$I$406,"yes")</f>
        <v>4</v>
      </c>
      <c r="J2" s="5" t="n">
        <f aca="false">COUNTIFS(Albums!$B$2:$B$406,B2,Albums!$J$2:$J$406,"&gt;0")</f>
        <v>3</v>
      </c>
      <c r="K2" s="5" t="n">
        <f aca="false">COUNTIFS(Albums!$B$2:$B$406,B2,Albums!$H$2:$H$406,"yes",Albums!$J$2:$J$406,"&gt;0")</f>
        <v>2</v>
      </c>
      <c r="L2" s="5" t="n">
        <f aca="false">IF(G2=0,"",_xlfn.MINIFS(Albums!$E$2:$E$406,Albums!$B$2:$B$406,B2))</f>
        <v>1985</v>
      </c>
      <c r="M2" s="5" t="n">
        <f aca="false">IF(G2=0,"",_xlfn.MAXIFS(Albums!$E$2:$E$406,Albums!$B$2:$B$406,B2))</f>
        <v>2022</v>
      </c>
      <c r="N2" s="5" t="n">
        <f aca="false">IF(J2=0,"",_xlfn.MINIFS(Albums!$J$2:$J$406,Albums!$B$2:$B$406,B2,Albums!$J$2:$J$406,"&gt;0"))</f>
        <v>15</v>
      </c>
      <c r="O2" s="5" t="n">
        <f aca="false">IF(K2=0,"",_xlfn.MINIFS(Albums!$J$2:$J$406,Albums!$B$2:$B$406,B2,Albums!$H$2:$H$406,"yes",Albums!$J$2:$J$406,"&gt;0"))</f>
        <v>74</v>
      </c>
      <c r="P2" s="5" t="n">
        <f aca="false">COUNTIFS(Albums!$B$2:$B$406,B2,Albums!$H$2:$H$406,"yes",Albums!$J$2:$J$406,"&gt;0",Albums!$J$2:$J$406,"&lt;=40")</f>
        <v>0</v>
      </c>
      <c r="Q2" s="5" t="n">
        <f aca="false">COUNTIFS(Albums!$B$2:$B$406,B2,Albums!$M$2:$M$406,"&gt;0")</f>
        <v>1</v>
      </c>
      <c r="R2" s="5" t="n">
        <f aca="false">COUNTIFS(Albums!$B$2:$B$406,B2,Albums!$H$2:$H$406,"yes",Albums!$M$2:$M$406,"&gt;0")</f>
        <v>0</v>
      </c>
      <c r="S2" s="7" t="n">
        <f aca="false">SUMIFS(Albums!$M$2:$M$406,Albums!$B$2:$B$406,B2)</f>
        <v>1</v>
      </c>
      <c r="T2" s="7" t="n">
        <f aca="false">SUMIFS(Albums!$M$2:$M$406,Albums!$B$2:$B$406,B2,Albums!$H$2:$H$406,"yes")</f>
        <v>0</v>
      </c>
      <c r="U2" s="5" t="n">
        <f aca="false">COUNTIFS('Grammy nominations'!$A$2:$A$189,B2,'Grammy nominations'!$F$2:$F$189,"later")</f>
        <v>0</v>
      </c>
      <c r="V2" s="5" t="n">
        <f aca="false">COUNTIFS('Grammy nominations'!$A$2:$A$189,B2,'Grammy nominations'!$F$2:$F$189,"later",'Grammy nominations'!$E$2:$E$189,"won")</f>
        <v>0</v>
      </c>
      <c r="W2" s="5" t="n">
        <f aca="false">COUNTIFS('Grammy nominations'!$A$2:$A$189,B2,'Grammy nominations'!$F$2:$F$189,"same ceremony")</f>
        <v>0</v>
      </c>
      <c r="X2" s="5" t="n">
        <f aca="false">IF(G2=0,"",M2-L2+1-SUMIFS(Breaks!$H$2:$H$31,Breaks!$A$2:$A$31,B2))</f>
        <v>30</v>
      </c>
      <c r="Y2" s="5" t="n">
        <f aca="false">IF(G2=0,"",IF(M2&lt;E2,0,M2-MAX(L2,E2)+1-SUMIFS(Breaks!$H$2:$H$31,Breaks!$A$2:$A$31,B2,Breaks!$C$2:$C$31,"&gt;="&amp;E2)))</f>
        <v>29</v>
      </c>
      <c r="Z2" s="5" t="s">
        <v>53</v>
      </c>
    </row>
    <row r="3" customFormat="false" ht="15" hidden="false" customHeight="false" outlineLevel="0" collapsed="false">
      <c r="A3" s="5" t="s">
        <v>54</v>
      </c>
      <c r="B3" s="5" t="s">
        <v>55</v>
      </c>
      <c r="C3" s="5" t="s">
        <v>51</v>
      </c>
      <c r="D3" s="6" t="n">
        <v>30006</v>
      </c>
      <c r="E3" s="5" t="n">
        <f aca="false">YEAR(D3)</f>
        <v>1982</v>
      </c>
      <c r="F3" s="5" t="s">
        <v>52</v>
      </c>
      <c r="G3" s="5" t="n">
        <f aca="false">COUNTIFS(Albums!$B$2:$B$406,B3)</f>
        <v>3</v>
      </c>
      <c r="H3" s="5" t="n">
        <f aca="false">COUNTIFS(Albums!$B$2:$B$406,B3,Albums!$H$2:$H$406,"yes")</f>
        <v>0</v>
      </c>
      <c r="I3" s="5" t="n">
        <f aca="false">COUNTIFS(Albums!$B$2:$B$406,B3,Albums!$I$2:$I$406,"yes")</f>
        <v>3</v>
      </c>
      <c r="J3" s="5" t="n">
        <f aca="false">COUNTIFS(Albums!$B$2:$B$406,B3,Albums!$J$2:$J$406,"&gt;0")</f>
        <v>2</v>
      </c>
      <c r="K3" s="5" t="n">
        <f aca="false">COUNTIFS(Albums!$B$2:$B$406,B3,Albums!$H$2:$H$406,"yes",Albums!$J$2:$J$406,"&gt;0")</f>
        <v>0</v>
      </c>
      <c r="L3" s="5" t="n">
        <f aca="false">IF(G3=0,"",_xlfn.MINIFS(Albums!$E$2:$E$406,Albums!$B$2:$B$406,B3))</f>
        <v>1979</v>
      </c>
      <c r="M3" s="5" t="n">
        <f aca="false">IF(G3=0,"",_xlfn.MAXIFS(Albums!$E$2:$E$406,Albums!$B$2:$B$406,B3))</f>
        <v>1981</v>
      </c>
      <c r="N3" s="5" t="n">
        <f aca="false">IF(J3=0,"",_xlfn.MINIFS(Albums!$J$2:$J$406,Albums!$B$2:$B$406,B3,Albums!$J$2:$J$406,"&gt;0"))</f>
        <v>44</v>
      </c>
      <c r="O3" s="5" t="str">
        <f aca="false">IF(K3=0,"",_xlfn.MINIFS(Albums!$J$2:$J$406,Albums!$B$2:$B$406,B3,Albums!$H$2:$H$406,"yes",Albums!$J$2:$J$406,"&gt;0"))</f>
        <v/>
      </c>
      <c r="P3" s="5" t="n">
        <f aca="false">COUNTIFS(Albums!$B$2:$B$406,B3,Albums!$H$2:$H$406,"yes",Albums!$J$2:$J$406,"&gt;0",Albums!$J$2:$J$406,"&lt;=40")</f>
        <v>0</v>
      </c>
      <c r="Q3" s="5" t="n">
        <f aca="false">COUNTIFS(Albums!$B$2:$B$406,B3,Albums!$M$2:$M$406,"&gt;0")</f>
        <v>1</v>
      </c>
      <c r="R3" s="5" t="n">
        <f aca="false">COUNTIFS(Albums!$B$2:$B$406,B3,Albums!$H$2:$H$406,"yes",Albums!$M$2:$M$406,"&gt;0")</f>
        <v>0</v>
      </c>
      <c r="S3" s="7" t="n">
        <f aca="false">SUMIFS(Albums!$M$2:$M$406,Albums!$B$2:$B$406,B3)</f>
        <v>0.5</v>
      </c>
      <c r="T3" s="7" t="n">
        <f aca="false">SUMIFS(Albums!$M$2:$M$406,Albums!$B$2:$B$406,B3,Albums!$H$2:$H$406,"yes")</f>
        <v>0</v>
      </c>
      <c r="U3" s="5" t="n">
        <f aca="false">COUNTIFS('Grammy nominations'!$A$2:$A$189,B3,'Grammy nominations'!$F$2:$F$189,"later")</f>
        <v>0</v>
      </c>
      <c r="V3" s="5" t="n">
        <f aca="false">COUNTIFS('Grammy nominations'!$A$2:$A$189,B3,'Grammy nominations'!$F$2:$F$189,"later",'Grammy nominations'!$E$2:$E$189,"won")</f>
        <v>0</v>
      </c>
      <c r="W3" s="5" t="n">
        <f aca="false">COUNTIFS('Grammy nominations'!$A$2:$A$189,B3,'Grammy nominations'!$F$2:$F$189,"same ceremony")</f>
        <v>0</v>
      </c>
      <c r="X3" s="5" t="n">
        <f aca="false">IF(G3=0,"",M3-L3+1-SUMIFS(Breaks!$H$2:$H$31,Breaks!$A$2:$A$31,B3))</f>
        <v>3</v>
      </c>
      <c r="Y3" s="5" t="n">
        <f aca="false">IF(G3=0,"",IF(M3&lt;E3,0,M3-MAX(L3,E3)+1-SUMIFS(Breaks!$H$2:$H$31,Breaks!$A$2:$A$31,B3,Breaks!$C$2:$C$31,"&gt;="&amp;E3)))</f>
        <v>0</v>
      </c>
      <c r="Z3" s="5" t="s">
        <v>56</v>
      </c>
    </row>
    <row r="4" customFormat="false" ht="15" hidden="false" customHeight="false" outlineLevel="0" collapsed="false">
      <c r="A4" s="5" t="s">
        <v>57</v>
      </c>
      <c r="B4" s="5" t="s">
        <v>58</v>
      </c>
      <c r="C4" s="5" t="s">
        <v>59</v>
      </c>
      <c r="D4" s="6" t="n">
        <v>29642</v>
      </c>
      <c r="E4" s="5" t="n">
        <f aca="false">YEAR(D4)</f>
        <v>1981</v>
      </c>
      <c r="F4" s="5" t="s">
        <v>52</v>
      </c>
      <c r="G4" s="5" t="n">
        <f aca="false">COUNTIFS(Albums!$B$2:$B$406,B4)</f>
        <v>4</v>
      </c>
      <c r="H4" s="5" t="n">
        <f aca="false">COUNTIFS(Albums!$B$2:$B$406,B4,Albums!$H$2:$H$406,"yes")</f>
        <v>3</v>
      </c>
      <c r="I4" s="5" t="n">
        <f aca="false">COUNTIFS(Albums!$B$2:$B$406,B4,Albums!$I$2:$I$406,"yes")</f>
        <v>1</v>
      </c>
      <c r="J4" s="5" t="n">
        <f aca="false">COUNTIFS(Albums!$B$2:$B$406,B4,Albums!$J$2:$J$406,"&gt;0")</f>
        <v>1</v>
      </c>
      <c r="K4" s="5" t="n">
        <f aca="false">COUNTIFS(Albums!$B$2:$B$406,B4,Albums!$H$2:$H$406,"yes",Albums!$J$2:$J$406,"&gt;0")</f>
        <v>0</v>
      </c>
      <c r="L4" s="5" t="n">
        <f aca="false">IF(G4=0,"",_xlfn.MINIFS(Albums!$E$2:$E$406,Albums!$B$2:$B$406,B4))</f>
        <v>1980</v>
      </c>
      <c r="M4" s="5" t="n">
        <f aca="false">IF(G4=0,"",_xlfn.MAXIFS(Albums!$E$2:$E$406,Albums!$B$2:$B$406,B4))</f>
        <v>2016</v>
      </c>
      <c r="N4" s="5" t="n">
        <f aca="false">IF(J4=0,"",_xlfn.MINIFS(Albums!$J$2:$J$406,Albums!$B$2:$B$406,B4,Albums!$J$2:$J$406,"&gt;0"))</f>
        <v>146</v>
      </c>
      <c r="O4" s="5" t="str">
        <f aca="false">IF(K4=0,"",_xlfn.MINIFS(Albums!$J$2:$J$406,Albums!$B$2:$B$406,B4,Albums!$H$2:$H$406,"yes",Albums!$J$2:$J$406,"&gt;0"))</f>
        <v/>
      </c>
      <c r="P4" s="5" t="n">
        <f aca="false">COUNTIFS(Albums!$B$2:$B$406,B4,Albums!$H$2:$H$406,"yes",Albums!$J$2:$J$406,"&gt;0",Albums!$J$2:$J$406,"&lt;=40")</f>
        <v>0</v>
      </c>
      <c r="Q4" s="5" t="n">
        <f aca="false">COUNTIFS(Albums!$B$2:$B$406,B4,Albums!$M$2:$M$406,"&gt;0")</f>
        <v>0</v>
      </c>
      <c r="R4" s="5" t="n">
        <f aca="false">COUNTIFS(Albums!$B$2:$B$406,B4,Albums!$H$2:$H$406,"yes",Albums!$M$2:$M$406,"&gt;0")</f>
        <v>0</v>
      </c>
      <c r="S4" s="7" t="n">
        <f aca="false">SUMIFS(Albums!$M$2:$M$406,Albums!$B$2:$B$406,B4)</f>
        <v>0</v>
      </c>
      <c r="T4" s="7" t="n">
        <f aca="false">SUMIFS(Albums!$M$2:$M$406,Albums!$B$2:$B$406,B4,Albums!$H$2:$H$406,"yes")</f>
        <v>0</v>
      </c>
      <c r="U4" s="5" t="n">
        <f aca="false">COUNTIFS('Grammy nominations'!$A$2:$A$189,B4,'Grammy nominations'!$F$2:$F$189,"later")</f>
        <v>0</v>
      </c>
      <c r="V4" s="5" t="n">
        <f aca="false">COUNTIFS('Grammy nominations'!$A$2:$A$189,B4,'Grammy nominations'!$F$2:$F$189,"later",'Grammy nominations'!$E$2:$E$189,"won")</f>
        <v>0</v>
      </c>
      <c r="W4" s="5" t="n">
        <f aca="false">COUNTIFS('Grammy nominations'!$A$2:$A$189,B4,'Grammy nominations'!$F$2:$F$189,"same ceremony")</f>
        <v>0</v>
      </c>
      <c r="X4" s="5" t="n">
        <f aca="false">IF(G4=0,"",M4-L4+1-SUMIFS(Breaks!$H$2:$H$31,Breaks!$A$2:$A$31,B4))</f>
        <v>37</v>
      </c>
      <c r="Y4" s="5" t="n">
        <f aca="false">IF(G4=0,"",IF(M4&lt;E4,0,M4-MAX(L4,E4)+1-SUMIFS(Breaks!$H$2:$H$31,Breaks!$A$2:$A$31,B4,Breaks!$C$2:$C$31,"&gt;="&amp;E4)))</f>
        <v>36</v>
      </c>
      <c r="Z4" s="5" t="s">
        <v>60</v>
      </c>
    </row>
    <row r="5" customFormat="false" ht="15" hidden="false" customHeight="false" outlineLevel="0" collapsed="false">
      <c r="A5" s="5" t="s">
        <v>61</v>
      </c>
      <c r="B5" s="5" t="s">
        <v>62</v>
      </c>
      <c r="C5" s="5" t="s">
        <v>51</v>
      </c>
      <c r="D5" s="6" t="n">
        <v>30370</v>
      </c>
      <c r="E5" s="5" t="n">
        <f aca="false">YEAR(D5)</f>
        <v>1983</v>
      </c>
      <c r="F5" s="5" t="s">
        <v>52</v>
      </c>
      <c r="G5" s="5" t="n">
        <f aca="false">COUNTIFS(Albums!$B$2:$B$406,B5)</f>
        <v>12</v>
      </c>
      <c r="H5" s="5" t="n">
        <f aca="false">COUNTIFS(Albums!$B$2:$B$406,B5,Albums!$H$2:$H$406,"yes")</f>
        <v>11</v>
      </c>
      <c r="I5" s="5" t="n">
        <f aca="false">COUNTIFS(Albums!$B$2:$B$406,B5,Albums!$I$2:$I$406,"yes")</f>
        <v>9</v>
      </c>
      <c r="J5" s="5" t="n">
        <f aca="false">COUNTIFS(Albums!$B$2:$B$406,B5,Albums!$J$2:$J$406,"&gt;0")</f>
        <v>6</v>
      </c>
      <c r="K5" s="5" t="n">
        <f aca="false">COUNTIFS(Albums!$B$2:$B$406,B5,Albums!$H$2:$H$406,"yes",Albums!$J$2:$J$406,"&gt;0")</f>
        <v>5</v>
      </c>
      <c r="L5" s="5" t="n">
        <f aca="false">IF(G5=0,"",_xlfn.MINIFS(Albums!$E$2:$E$406,Albums!$B$2:$B$406,B5))</f>
        <v>1982</v>
      </c>
      <c r="M5" s="5" t="n">
        <f aca="false">IF(G5=0,"",_xlfn.MAXIFS(Albums!$E$2:$E$406,Albums!$B$2:$B$406,B5))</f>
        <v>2014</v>
      </c>
      <c r="N5" s="5" t="n">
        <f aca="false">IF(J5=0,"",_xlfn.MINIFS(Albums!$J$2:$J$406,Albums!$B$2:$B$406,B5,Albums!$J$2:$J$406,"&gt;0"))</f>
        <v>1</v>
      </c>
      <c r="O5" s="5" t="n">
        <f aca="false">IF(K5=0,"",_xlfn.MINIFS(Albums!$J$2:$J$406,Albums!$B$2:$B$406,B5,Albums!$H$2:$H$406,"yes",Albums!$J$2:$J$406,"&gt;0"))</f>
        <v>6</v>
      </c>
      <c r="P5" s="5" t="n">
        <f aca="false">COUNTIFS(Albums!$B$2:$B$406,B5,Albums!$H$2:$H$406,"yes",Albums!$J$2:$J$406,"&gt;0",Albums!$J$2:$J$406,"&lt;=40")</f>
        <v>1</v>
      </c>
      <c r="Q5" s="5" t="n">
        <f aca="false">COUNTIFS(Albums!$B$2:$B$406,B5,Albums!$M$2:$M$406,"&gt;0")</f>
        <v>2</v>
      </c>
      <c r="R5" s="5" t="n">
        <f aca="false">COUNTIFS(Albums!$B$2:$B$406,B5,Albums!$H$2:$H$406,"yes",Albums!$M$2:$M$406,"&gt;0")</f>
        <v>1</v>
      </c>
      <c r="S5" s="7" t="n">
        <f aca="false">SUMIFS(Albums!$M$2:$M$406,Albums!$B$2:$B$406,B5)</f>
        <v>5</v>
      </c>
      <c r="T5" s="7" t="n">
        <f aca="false">SUMIFS(Albums!$M$2:$M$406,Albums!$B$2:$B$406,B5,Albums!$H$2:$H$406,"yes")</f>
        <v>1</v>
      </c>
      <c r="U5" s="5" t="n">
        <f aca="false">COUNTIFS('Grammy nominations'!$A$2:$A$189,B5,'Grammy nominations'!$F$2:$F$189,"later")</f>
        <v>0</v>
      </c>
      <c r="V5" s="5" t="n">
        <f aca="false">COUNTIFS('Grammy nominations'!$A$2:$A$189,B5,'Grammy nominations'!$F$2:$F$189,"later",'Grammy nominations'!$E$2:$E$189,"won")</f>
        <v>0</v>
      </c>
      <c r="W5" s="5" t="n">
        <f aca="false">COUNTIFS('Grammy nominations'!$A$2:$A$189,B5,'Grammy nominations'!$F$2:$F$189,"same ceremony")</f>
        <v>1</v>
      </c>
      <c r="X5" s="5" t="n">
        <f aca="false">IF(G5=0,"",M5-L5+1-SUMIFS(Breaks!$H$2:$H$31,Breaks!$A$2:$A$31,B5))</f>
        <v>31</v>
      </c>
      <c r="Y5" s="5" t="n">
        <f aca="false">IF(G5=0,"",IF(M5&lt;E5,0,M5-MAX(L5,E5)+1-SUMIFS(Breaks!$H$2:$H$31,Breaks!$A$2:$A$31,B5,Breaks!$C$2:$C$31,"&gt;="&amp;E5)))</f>
        <v>30</v>
      </c>
      <c r="Z5" s="5" t="s">
        <v>63</v>
      </c>
    </row>
    <row r="6" customFormat="false" ht="15" hidden="false" customHeight="false" outlineLevel="0" collapsed="false">
      <c r="A6" s="5" t="s">
        <v>64</v>
      </c>
      <c r="B6" s="5" t="s">
        <v>65</v>
      </c>
      <c r="C6" s="5" t="s">
        <v>51</v>
      </c>
      <c r="D6" s="6" t="n">
        <v>30740</v>
      </c>
      <c r="E6" s="5" t="n">
        <f aca="false">YEAR(D6)</f>
        <v>1984</v>
      </c>
      <c r="F6" s="5" t="s">
        <v>52</v>
      </c>
      <c r="G6" s="5" t="n">
        <f aca="false">COUNTIFS(Albums!$B$2:$B$406,B6)</f>
        <v>9</v>
      </c>
      <c r="H6" s="5" t="n">
        <f aca="false">COUNTIFS(Albums!$B$2:$B$406,B6,Albums!$H$2:$H$406,"yes")</f>
        <v>8</v>
      </c>
      <c r="I6" s="5" t="n">
        <f aca="false">COUNTIFS(Albums!$B$2:$B$406,B6,Albums!$I$2:$I$406,"yes")</f>
        <v>6</v>
      </c>
      <c r="J6" s="5" t="n">
        <f aca="false">COUNTIFS(Albums!$B$2:$B$406,B6,Albums!$J$2:$J$406,"&gt;0")</f>
        <v>4</v>
      </c>
      <c r="K6" s="5" t="n">
        <f aca="false">COUNTIFS(Albums!$B$2:$B$406,B6,Albums!$H$2:$H$406,"yes",Albums!$J$2:$J$406,"&gt;0")</f>
        <v>3</v>
      </c>
      <c r="L6" s="5" t="n">
        <f aca="false">IF(G6=0,"",_xlfn.MINIFS(Albums!$E$2:$E$406,Albums!$B$2:$B$406,B6))</f>
        <v>1983</v>
      </c>
      <c r="M6" s="5" t="n">
        <f aca="false">IF(G6=0,"",_xlfn.MAXIFS(Albums!$E$2:$E$406,Albums!$B$2:$B$406,B6))</f>
        <v>2013</v>
      </c>
      <c r="N6" s="5" t="n">
        <f aca="false">IF(J6=0,"",_xlfn.MINIFS(Albums!$J$2:$J$406,Albums!$B$2:$B$406,B6,Albums!$J$2:$J$406,"&gt;0"))</f>
        <v>18</v>
      </c>
      <c r="O6" s="5" t="n">
        <f aca="false">IF(K6=0,"",_xlfn.MINIFS(Albums!$J$2:$J$406,Albums!$B$2:$B$406,B6,Albums!$H$2:$H$406,"yes",Albums!$J$2:$J$406,"&gt;0"))</f>
        <v>59</v>
      </c>
      <c r="P6" s="5" t="n">
        <f aca="false">COUNTIFS(Albums!$B$2:$B$406,B6,Albums!$H$2:$H$406,"yes",Albums!$J$2:$J$406,"&gt;0",Albums!$J$2:$J$406,"&lt;=40")</f>
        <v>0</v>
      </c>
      <c r="Q6" s="5" t="n">
        <f aca="false">COUNTIFS(Albums!$B$2:$B$406,B6,Albums!$M$2:$M$406,"&gt;0")</f>
        <v>1</v>
      </c>
      <c r="R6" s="5" t="n">
        <f aca="false">COUNTIFS(Albums!$B$2:$B$406,B6,Albums!$H$2:$H$406,"yes",Albums!$M$2:$M$406,"&gt;0")</f>
        <v>0</v>
      </c>
      <c r="S6" s="7" t="n">
        <f aca="false">SUMIFS(Albums!$M$2:$M$406,Albums!$B$2:$B$406,B6)</f>
        <v>0.5</v>
      </c>
      <c r="T6" s="7" t="n">
        <f aca="false">SUMIFS(Albums!$M$2:$M$406,Albums!$B$2:$B$406,B6,Albums!$H$2:$H$406,"yes")</f>
        <v>0</v>
      </c>
      <c r="U6" s="5" t="n">
        <f aca="false">COUNTIFS('Grammy nominations'!$A$2:$A$189,B6,'Grammy nominations'!$F$2:$F$189,"later")</f>
        <v>0</v>
      </c>
      <c r="V6" s="5" t="n">
        <f aca="false">COUNTIFS('Grammy nominations'!$A$2:$A$189,B6,'Grammy nominations'!$F$2:$F$189,"later",'Grammy nominations'!$E$2:$E$189,"won")</f>
        <v>0</v>
      </c>
      <c r="W6" s="5" t="n">
        <f aca="false">COUNTIFS('Grammy nominations'!$A$2:$A$189,B6,'Grammy nominations'!$F$2:$F$189,"same ceremony")</f>
        <v>1</v>
      </c>
      <c r="X6" s="5" t="n">
        <f aca="false">IF(G6=0,"",M6-L6+1-SUMIFS(Breaks!$H$2:$H$31,Breaks!$A$2:$A$31,B6))</f>
        <v>23</v>
      </c>
      <c r="Y6" s="5" t="n">
        <f aca="false">IF(G6=0,"",IF(M6&lt;E6,0,M6-MAX(L6,E6)+1-SUMIFS(Breaks!$H$2:$H$31,Breaks!$A$2:$A$31,B6,Breaks!$C$2:$C$31,"&gt;="&amp;E6)))</f>
        <v>22</v>
      </c>
      <c r="Z6" s="5" t="s">
        <v>66</v>
      </c>
    </row>
    <row r="7" customFormat="false" ht="15" hidden="false" customHeight="false" outlineLevel="0" collapsed="false">
      <c r="A7" s="5" t="s">
        <v>67</v>
      </c>
      <c r="B7" s="5" t="s">
        <v>68</v>
      </c>
      <c r="C7" s="5" t="s">
        <v>51</v>
      </c>
      <c r="D7" s="6" t="n">
        <v>32204</v>
      </c>
      <c r="E7" s="5" t="n">
        <f aca="false">YEAR(D7)</f>
        <v>1988</v>
      </c>
      <c r="F7" s="5" t="s">
        <v>52</v>
      </c>
      <c r="G7" s="5" t="n">
        <f aca="false">COUNTIFS(Albums!$B$2:$B$406,B7)</f>
        <v>1</v>
      </c>
      <c r="H7" s="5" t="n">
        <f aca="false">COUNTIFS(Albums!$B$2:$B$406,B7,Albums!$H$2:$H$406,"yes")</f>
        <v>0</v>
      </c>
      <c r="I7" s="5" t="n">
        <f aca="false">COUNTIFS(Albums!$B$2:$B$406,B7,Albums!$I$2:$I$406,"yes")</f>
        <v>1</v>
      </c>
      <c r="J7" s="5" t="n">
        <f aca="false">COUNTIFS(Albums!$B$2:$B$406,B7,Albums!$J$2:$J$406,"&gt;0")</f>
        <v>1</v>
      </c>
      <c r="K7" s="5" t="n">
        <f aca="false">COUNTIFS(Albums!$B$2:$B$406,B7,Albums!$H$2:$H$406,"yes",Albums!$J$2:$J$406,"&gt;0")</f>
        <v>0</v>
      </c>
      <c r="L7" s="5" t="n">
        <f aca="false">IF(G7=0,"",_xlfn.MINIFS(Albums!$E$2:$E$406,Albums!$B$2:$B$406,B7))</f>
        <v>1987</v>
      </c>
      <c r="M7" s="5" t="n">
        <f aca="false">IF(G7=0,"",_xlfn.MAXIFS(Albums!$E$2:$E$406,Albums!$B$2:$B$406,B7))</f>
        <v>1987</v>
      </c>
      <c r="N7" s="5" t="n">
        <f aca="false">IF(J7=0,"",_xlfn.MINIFS(Albums!$J$2:$J$406,Albums!$B$2:$B$406,B7,Albums!$J$2:$J$406,"&gt;0"))</f>
        <v>43</v>
      </c>
      <c r="O7" s="5" t="str">
        <f aca="false">IF(K7=0,"",_xlfn.MINIFS(Albums!$J$2:$J$406,Albums!$B$2:$B$406,B7,Albums!$H$2:$H$406,"yes",Albums!$J$2:$J$406,"&gt;0"))</f>
        <v/>
      </c>
      <c r="P7" s="5" t="n">
        <f aca="false">COUNTIFS(Albums!$B$2:$B$406,B7,Albums!$H$2:$H$406,"yes",Albums!$J$2:$J$406,"&gt;0",Albums!$J$2:$J$406,"&lt;=40")</f>
        <v>0</v>
      </c>
      <c r="Q7" s="5" t="n">
        <f aca="false">COUNTIFS(Albums!$B$2:$B$406,B7,Albums!$M$2:$M$406,"&gt;0")</f>
        <v>0</v>
      </c>
      <c r="R7" s="5" t="n">
        <f aca="false">COUNTIFS(Albums!$B$2:$B$406,B7,Albums!$H$2:$H$406,"yes",Albums!$M$2:$M$406,"&gt;0")</f>
        <v>0</v>
      </c>
      <c r="S7" s="7" t="n">
        <f aca="false">SUMIFS(Albums!$M$2:$M$406,Albums!$B$2:$B$406,B7)</f>
        <v>0</v>
      </c>
      <c r="T7" s="7" t="n">
        <f aca="false">SUMIFS(Albums!$M$2:$M$406,Albums!$B$2:$B$406,B7,Albums!$H$2:$H$406,"yes")</f>
        <v>0</v>
      </c>
      <c r="U7" s="5" t="n">
        <f aca="false">COUNTIFS('Grammy nominations'!$A$2:$A$189,B7,'Grammy nominations'!$F$2:$F$189,"later")</f>
        <v>0</v>
      </c>
      <c r="V7" s="5" t="n">
        <f aca="false">COUNTIFS('Grammy nominations'!$A$2:$A$189,B7,'Grammy nominations'!$F$2:$F$189,"later",'Grammy nominations'!$E$2:$E$189,"won")</f>
        <v>0</v>
      </c>
      <c r="W7" s="5" t="n">
        <f aca="false">COUNTIFS('Grammy nominations'!$A$2:$A$189,B7,'Grammy nominations'!$F$2:$F$189,"same ceremony")</f>
        <v>0</v>
      </c>
      <c r="X7" s="5" t="n">
        <f aca="false">IF(G7=0,"",M7-L7+1-SUMIFS(Breaks!$H$2:$H$31,Breaks!$A$2:$A$31,B7))</f>
        <v>1</v>
      </c>
      <c r="Y7" s="5" t="n">
        <f aca="false">IF(G7=0,"",IF(M7&lt;E7,0,M7-MAX(L7,E7)+1-SUMIFS(Breaks!$H$2:$H$31,Breaks!$A$2:$A$31,B7,Breaks!$C$2:$C$31,"&gt;="&amp;E7)))</f>
        <v>0</v>
      </c>
      <c r="Z7" s="5" t="s">
        <v>69</v>
      </c>
    </row>
    <row r="8" customFormat="false" ht="15" hidden="false" customHeight="false" outlineLevel="0" collapsed="false">
      <c r="A8" s="5" t="s">
        <v>70</v>
      </c>
      <c r="B8" s="5" t="s">
        <v>71</v>
      </c>
      <c r="C8" s="5" t="s">
        <v>51</v>
      </c>
      <c r="D8" s="6" t="n">
        <v>31832</v>
      </c>
      <c r="E8" s="5" t="n">
        <f aca="false">YEAR(D8)</f>
        <v>1987</v>
      </c>
      <c r="F8" s="5" t="s">
        <v>72</v>
      </c>
      <c r="G8" s="5" t="n">
        <f aca="false">COUNTIFS(Albums!$B$2:$B$406,B8)</f>
        <v>3</v>
      </c>
      <c r="H8" s="5" t="n">
        <f aca="false">COUNTIFS(Albums!$B$2:$B$406,B8,Albums!$H$2:$H$406,"yes")</f>
        <v>2</v>
      </c>
      <c r="I8" s="5" t="n">
        <f aca="false">COUNTIFS(Albums!$B$2:$B$406,B8,Albums!$I$2:$I$406,"yes")</f>
        <v>3</v>
      </c>
      <c r="J8" s="5" t="n">
        <f aca="false">COUNTIFS(Albums!$B$2:$B$406,B8,Albums!$J$2:$J$406,"&gt;0")</f>
        <v>3</v>
      </c>
      <c r="K8" s="5" t="n">
        <f aca="false">COUNTIFS(Albums!$B$2:$B$406,B8,Albums!$H$2:$H$406,"yes",Albums!$J$2:$J$406,"&gt;0")</f>
        <v>2</v>
      </c>
      <c r="L8" s="5" t="n">
        <f aca="false">IF(G8=0,"",_xlfn.MINIFS(Albums!$E$2:$E$406,Albums!$B$2:$B$406,B8))</f>
        <v>1986</v>
      </c>
      <c r="M8" s="5" t="n">
        <f aca="false">IF(G8=0,"",_xlfn.MAXIFS(Albums!$E$2:$E$406,Albums!$B$2:$B$406,B8))</f>
        <v>1990</v>
      </c>
      <c r="N8" s="5" t="n">
        <f aca="false">IF(J8=0,"",_xlfn.MINIFS(Albums!$J$2:$J$406,Albums!$B$2:$B$406,B8,Albums!$J$2:$J$406,"&gt;0"))</f>
        <v>3</v>
      </c>
      <c r="O8" s="5" t="n">
        <f aca="false">IF(K8=0,"",_xlfn.MINIFS(Albums!$J$2:$J$406,Albums!$B$2:$B$406,B8,Albums!$H$2:$H$406,"yes",Albums!$J$2:$J$406,"&gt;0"))</f>
        <v>5</v>
      </c>
      <c r="P8" s="5" t="n">
        <f aca="false">COUNTIFS(Albums!$B$2:$B$406,B8,Albums!$H$2:$H$406,"yes",Albums!$J$2:$J$406,"&gt;0",Albums!$J$2:$J$406,"&lt;=40")</f>
        <v>2</v>
      </c>
      <c r="Q8" s="5" t="n">
        <f aca="false">COUNTIFS(Albums!$B$2:$B$406,B8,Albums!$M$2:$M$406,"&gt;0")</f>
        <v>3</v>
      </c>
      <c r="R8" s="5" t="n">
        <f aca="false">COUNTIFS(Albums!$B$2:$B$406,B8,Albums!$H$2:$H$406,"yes",Albums!$M$2:$M$406,"&gt;0")</f>
        <v>2</v>
      </c>
      <c r="S8" s="7" t="n">
        <f aca="false">SUMIFS(Albums!$M$2:$M$406,Albums!$B$2:$B$406,B8)</f>
        <v>4.5</v>
      </c>
      <c r="T8" s="7" t="n">
        <f aca="false">SUMIFS(Albums!$M$2:$M$406,Albums!$B$2:$B$406,B8,Albums!$H$2:$H$406,"yes")</f>
        <v>1.5</v>
      </c>
      <c r="U8" s="5" t="n">
        <f aca="false">COUNTIFS('Grammy nominations'!$A$2:$A$189,B8,'Grammy nominations'!$F$2:$F$189,"later")</f>
        <v>1</v>
      </c>
      <c r="V8" s="5" t="n">
        <f aca="false">COUNTIFS('Grammy nominations'!$A$2:$A$189,B8,'Grammy nominations'!$F$2:$F$189,"later",'Grammy nominations'!$E$2:$E$189,"won")</f>
        <v>0</v>
      </c>
      <c r="W8" s="5" t="n">
        <f aca="false">COUNTIFS('Grammy nominations'!$A$2:$A$189,B8,'Grammy nominations'!$F$2:$F$189,"same ceremony")</f>
        <v>0</v>
      </c>
      <c r="X8" s="5" t="n">
        <f aca="false">IF(G8=0,"",M8-L8+1-SUMIFS(Breaks!$H$2:$H$31,Breaks!$A$2:$A$31,B8))</f>
        <v>5</v>
      </c>
      <c r="Y8" s="5" t="n">
        <f aca="false">IF(G8=0,"",IF(M8&lt;E8,0,M8-MAX(L8,E8)+1-SUMIFS(Breaks!$H$2:$H$31,Breaks!$A$2:$A$31,B8,Breaks!$C$2:$C$31,"&gt;="&amp;E8)))</f>
        <v>4</v>
      </c>
      <c r="Z8" s="5" t="s">
        <v>73</v>
      </c>
    </row>
    <row r="9" customFormat="false" ht="15" hidden="false" customHeight="false" outlineLevel="0" collapsed="false">
      <c r="A9" s="5" t="s">
        <v>74</v>
      </c>
      <c r="B9" s="5" t="s">
        <v>75</v>
      </c>
      <c r="C9" s="5" t="s">
        <v>59</v>
      </c>
      <c r="D9" s="6" t="n">
        <v>29642</v>
      </c>
      <c r="E9" s="5" t="n">
        <f aca="false">YEAR(D9)</f>
        <v>1981</v>
      </c>
      <c r="F9" s="5" t="s">
        <v>72</v>
      </c>
      <c r="G9" s="5" t="n">
        <f aca="false">COUNTIFS(Albums!$B$2:$B$406,B9)</f>
        <v>11</v>
      </c>
      <c r="H9" s="5" t="n">
        <f aca="false">COUNTIFS(Albums!$B$2:$B$406,B9,Albums!$H$2:$H$406,"yes")</f>
        <v>10</v>
      </c>
      <c r="I9" s="5" t="n">
        <f aca="false">COUNTIFS(Albums!$B$2:$B$406,B9,Albums!$I$2:$I$406,"yes")</f>
        <v>5</v>
      </c>
      <c r="J9" s="5" t="n">
        <f aca="false">COUNTIFS(Albums!$B$2:$B$406,B9,Albums!$J$2:$J$406,"&gt;0")</f>
        <v>3</v>
      </c>
      <c r="K9" s="5" t="n">
        <f aca="false">COUNTIFS(Albums!$B$2:$B$406,B9,Albums!$H$2:$H$406,"yes",Albums!$J$2:$J$406,"&gt;0")</f>
        <v>2</v>
      </c>
      <c r="L9" s="5" t="n">
        <f aca="false">IF(G9=0,"",_xlfn.MINIFS(Albums!$E$2:$E$406,Albums!$B$2:$B$406,B9))</f>
        <v>1979</v>
      </c>
      <c r="M9" s="5" t="n">
        <f aca="false">IF(G9=0,"",_xlfn.MAXIFS(Albums!$E$2:$E$406,Albums!$B$2:$B$406,B9))</f>
        <v>2017</v>
      </c>
      <c r="N9" s="5" t="n">
        <f aca="false">IF(J9=0,"",_xlfn.MINIFS(Albums!$J$2:$J$406,Albums!$B$2:$B$406,B9,Albums!$J$2:$J$406,"&gt;0"))</f>
        <v>6</v>
      </c>
      <c r="O9" s="5" t="n">
        <f aca="false">IF(K9=0,"",_xlfn.MINIFS(Albums!$J$2:$J$406,Albums!$B$2:$B$406,B9,Albums!$H$2:$H$406,"yes",Albums!$J$2:$J$406,"&gt;0"))</f>
        <v>11</v>
      </c>
      <c r="P9" s="5" t="n">
        <f aca="false">COUNTIFS(Albums!$B$2:$B$406,B9,Albums!$H$2:$H$406,"yes",Albums!$J$2:$J$406,"&gt;0",Albums!$J$2:$J$406,"&lt;=40")</f>
        <v>1</v>
      </c>
      <c r="Q9" s="5" t="n">
        <f aca="false">COUNTIFS(Albums!$B$2:$B$406,B9,Albums!$M$2:$M$406,"&gt;0")</f>
        <v>2</v>
      </c>
      <c r="R9" s="5" t="n">
        <f aca="false">COUNTIFS(Albums!$B$2:$B$406,B9,Albums!$H$2:$H$406,"yes",Albums!$M$2:$M$406,"&gt;0")</f>
        <v>1</v>
      </c>
      <c r="S9" s="7" t="n">
        <f aca="false">SUMIFS(Albums!$M$2:$M$406,Albums!$B$2:$B$406,B9)</f>
        <v>5.5</v>
      </c>
      <c r="T9" s="7" t="n">
        <f aca="false">SUMIFS(Albums!$M$2:$M$406,Albums!$B$2:$B$406,B9,Albums!$H$2:$H$406,"yes")</f>
        <v>0.5</v>
      </c>
      <c r="U9" s="5" t="n">
        <f aca="false">COUNTIFS('Grammy nominations'!$A$2:$A$189,B9,'Grammy nominations'!$F$2:$F$189,"later")</f>
        <v>3</v>
      </c>
      <c r="V9" s="5" t="n">
        <f aca="false">COUNTIFS('Grammy nominations'!$A$2:$A$189,B9,'Grammy nominations'!$F$2:$F$189,"later",'Grammy nominations'!$E$2:$E$189,"won")</f>
        <v>0</v>
      </c>
      <c r="W9" s="5" t="n">
        <f aca="false">COUNTIFS('Grammy nominations'!$A$2:$A$189,B9,'Grammy nominations'!$F$2:$F$189,"same ceremony")</f>
        <v>5</v>
      </c>
      <c r="X9" s="5" t="n">
        <f aca="false">IF(G9=0,"",M9-L9+1-SUMIFS(Breaks!$H$2:$H$31,Breaks!$A$2:$A$31,B9))</f>
        <v>39</v>
      </c>
      <c r="Y9" s="5" t="n">
        <f aca="false">IF(G9=0,"",IF(M9&lt;E9,0,M9-MAX(L9,E9)+1-SUMIFS(Breaks!$H$2:$H$31,Breaks!$A$2:$A$31,B9,Breaks!$C$2:$C$31,"&gt;="&amp;E9)))</f>
        <v>37</v>
      </c>
      <c r="Z9" s="5" t="s">
        <v>76</v>
      </c>
    </row>
    <row r="10" customFormat="false" ht="15" hidden="false" customHeight="false" outlineLevel="0" collapsed="false">
      <c r="A10" s="5" t="s">
        <v>77</v>
      </c>
      <c r="B10" s="5" t="s">
        <v>78</v>
      </c>
      <c r="C10" s="5" t="s">
        <v>59</v>
      </c>
      <c r="D10" s="6" t="n">
        <v>31104</v>
      </c>
      <c r="E10" s="5" t="n">
        <f aca="false">YEAR(D10)</f>
        <v>1985</v>
      </c>
      <c r="F10" s="5" t="s">
        <v>52</v>
      </c>
      <c r="G10" s="5" t="n">
        <f aca="false">COUNTIFS(Albums!$B$2:$B$406,B10)</f>
        <v>8</v>
      </c>
      <c r="H10" s="5" t="n">
        <f aca="false">COUNTIFS(Albums!$B$2:$B$406,B10,Albums!$H$2:$H$406,"yes")</f>
        <v>7</v>
      </c>
      <c r="I10" s="5" t="n">
        <f aca="false">COUNTIFS(Albums!$B$2:$B$406,B10,Albums!$I$2:$I$406,"yes")</f>
        <v>5</v>
      </c>
      <c r="J10" s="5" t="n">
        <f aca="false">COUNTIFS(Albums!$B$2:$B$406,B10,Albums!$J$2:$J$406,"&gt;0")</f>
        <v>5</v>
      </c>
      <c r="K10" s="5" t="n">
        <f aca="false">COUNTIFS(Albums!$B$2:$B$406,B10,Albums!$H$2:$H$406,"yes",Albums!$J$2:$J$406,"&gt;0")</f>
        <v>4</v>
      </c>
      <c r="L10" s="5" t="n">
        <f aca="false">IF(G10=0,"",_xlfn.MINIFS(Albums!$E$2:$E$406,Albums!$B$2:$B$406,B10))</f>
        <v>1983</v>
      </c>
      <c r="M10" s="5" t="n">
        <f aca="false">IF(G10=0,"",_xlfn.MAXIFS(Albums!$E$2:$E$406,Albums!$B$2:$B$406,B10))</f>
        <v>1998</v>
      </c>
      <c r="N10" s="5" t="n">
        <f aca="false">IF(J10=0,"",_xlfn.MINIFS(Albums!$J$2:$J$406,Albums!$B$2:$B$406,B10,Albums!$J$2:$J$406,"&gt;0"))</f>
        <v>20</v>
      </c>
      <c r="O10" s="5" t="n">
        <f aca="false">IF(K10=0,"",_xlfn.MINIFS(Albums!$J$2:$J$406,Albums!$B$2:$B$406,B10,Albums!$H$2:$H$406,"yes",Albums!$J$2:$J$406,"&gt;0"))</f>
        <v>20</v>
      </c>
      <c r="P10" s="5" t="n">
        <f aca="false">COUNTIFS(Albums!$B$2:$B$406,B10,Albums!$H$2:$H$406,"yes",Albums!$J$2:$J$406,"&gt;0",Albums!$J$2:$J$406,"&lt;=40")</f>
        <v>1</v>
      </c>
      <c r="Q10" s="5" t="n">
        <f aca="false">COUNTIFS(Albums!$B$2:$B$406,B10,Albums!$M$2:$M$406,"&gt;0")</f>
        <v>3</v>
      </c>
      <c r="R10" s="5" t="n">
        <f aca="false">COUNTIFS(Albums!$B$2:$B$406,B10,Albums!$H$2:$H$406,"yes",Albums!$M$2:$M$406,"&gt;0")</f>
        <v>2</v>
      </c>
      <c r="S10" s="7" t="n">
        <f aca="false">SUMIFS(Albums!$M$2:$M$406,Albums!$B$2:$B$406,B10)</f>
        <v>1.5</v>
      </c>
      <c r="T10" s="7" t="n">
        <f aca="false">SUMIFS(Albums!$M$2:$M$406,Albums!$B$2:$B$406,B10,Albums!$H$2:$H$406,"yes")</f>
        <v>1</v>
      </c>
      <c r="U10" s="5" t="n">
        <f aca="false">COUNTIFS('Grammy nominations'!$A$2:$A$189,B10,'Grammy nominations'!$F$2:$F$189,"later")</f>
        <v>0</v>
      </c>
      <c r="V10" s="5" t="n">
        <f aca="false">COUNTIFS('Grammy nominations'!$A$2:$A$189,B10,'Grammy nominations'!$F$2:$F$189,"later",'Grammy nominations'!$E$2:$E$189,"won")</f>
        <v>0</v>
      </c>
      <c r="W10" s="5" t="n">
        <f aca="false">COUNTIFS('Grammy nominations'!$A$2:$A$189,B10,'Grammy nominations'!$F$2:$F$189,"same ceremony")</f>
        <v>0</v>
      </c>
      <c r="X10" s="5" t="n">
        <f aca="false">IF(G10=0,"",M10-L10+1-SUMIFS(Breaks!$H$2:$H$31,Breaks!$A$2:$A$31,B10))</f>
        <v>16</v>
      </c>
      <c r="Y10" s="5" t="n">
        <f aca="false">IF(G10=0,"",IF(M10&lt;E10,0,M10-MAX(L10,E10)+1-SUMIFS(Breaks!$H$2:$H$31,Breaks!$A$2:$A$31,B10,Breaks!$C$2:$C$31,"&gt;="&amp;E10)))</f>
        <v>14</v>
      </c>
      <c r="Z10" s="5" t="s">
        <v>79</v>
      </c>
    </row>
    <row r="11" customFormat="false" ht="15" hidden="false" customHeight="false" outlineLevel="0" collapsed="false">
      <c r="A11" s="5" t="s">
        <v>80</v>
      </c>
      <c r="B11" s="5" t="s">
        <v>81</v>
      </c>
      <c r="C11" s="5" t="s">
        <v>51</v>
      </c>
      <c r="D11" s="6" t="n">
        <v>30740</v>
      </c>
      <c r="E11" s="5" t="n">
        <f aca="false">YEAR(D11)</f>
        <v>1984</v>
      </c>
      <c r="F11" s="5" t="s">
        <v>72</v>
      </c>
      <c r="G11" s="5" t="n">
        <f aca="false">COUNTIFS(Albums!$B$2:$B$406,B11)</f>
        <v>6</v>
      </c>
      <c r="H11" s="5" t="n">
        <f aca="false">COUNTIFS(Albums!$B$2:$B$406,B11,Albums!$H$2:$H$406,"yes")</f>
        <v>4</v>
      </c>
      <c r="I11" s="5" t="n">
        <f aca="false">COUNTIFS(Albums!$B$2:$B$406,B11,Albums!$I$2:$I$406,"yes")</f>
        <v>4</v>
      </c>
      <c r="J11" s="5" t="n">
        <f aca="false">COUNTIFS(Albums!$B$2:$B$406,B11,Albums!$J$2:$J$406,"&gt;0")</f>
        <v>4</v>
      </c>
      <c r="K11" s="5" t="n">
        <f aca="false">COUNTIFS(Albums!$B$2:$B$406,B11,Albums!$H$2:$H$406,"yes",Albums!$J$2:$J$406,"&gt;0")</f>
        <v>2</v>
      </c>
      <c r="L11" s="5" t="n">
        <f aca="false">IF(G11=0,"",_xlfn.MINIFS(Albums!$E$2:$E$406,Albums!$B$2:$B$406,B11))</f>
        <v>1982</v>
      </c>
      <c r="M11" s="5" t="n">
        <f aca="false">IF(G11=0,"",_xlfn.MAXIFS(Albums!$E$2:$E$406,Albums!$B$2:$B$406,B11))</f>
        <v>2018</v>
      </c>
      <c r="N11" s="5" t="n">
        <f aca="false">IF(J11=0,"",_xlfn.MINIFS(Albums!$J$2:$J$406,Albums!$B$2:$B$406,B11,Albums!$J$2:$J$406,"&gt;0"))</f>
        <v>2</v>
      </c>
      <c r="O11" s="5" t="n">
        <f aca="false">IF(K11=0,"",_xlfn.MINIFS(Albums!$J$2:$J$406,Albums!$B$2:$B$406,B11,Albums!$H$2:$H$406,"yes",Albums!$J$2:$J$406,"&gt;0"))</f>
        <v>26</v>
      </c>
      <c r="P11" s="5" t="n">
        <f aca="false">COUNTIFS(Albums!$B$2:$B$406,B11,Albums!$H$2:$H$406,"yes",Albums!$J$2:$J$406,"&gt;0",Albums!$J$2:$J$406,"&lt;=40")</f>
        <v>2</v>
      </c>
      <c r="Q11" s="5" t="n">
        <f aca="false">COUNTIFS(Albums!$B$2:$B$406,B11,Albums!$M$2:$M$406,"&gt;0")</f>
        <v>3</v>
      </c>
      <c r="R11" s="5" t="n">
        <f aca="false">COUNTIFS(Albums!$B$2:$B$406,B11,Albums!$H$2:$H$406,"yes",Albums!$M$2:$M$406,"&gt;0")</f>
        <v>1</v>
      </c>
      <c r="S11" s="7" t="n">
        <f aca="false">SUMIFS(Albums!$M$2:$M$406,Albums!$B$2:$B$406,B11)</f>
        <v>6</v>
      </c>
      <c r="T11" s="7" t="n">
        <f aca="false">SUMIFS(Albums!$M$2:$M$406,Albums!$B$2:$B$406,B11,Albums!$H$2:$H$406,"yes")</f>
        <v>1</v>
      </c>
      <c r="U11" s="5" t="n">
        <f aca="false">COUNTIFS('Grammy nominations'!$A$2:$A$189,B11,'Grammy nominations'!$F$2:$F$189,"later")</f>
        <v>0</v>
      </c>
      <c r="V11" s="5" t="n">
        <f aca="false">COUNTIFS('Grammy nominations'!$A$2:$A$189,B11,'Grammy nominations'!$F$2:$F$189,"later",'Grammy nominations'!$E$2:$E$189,"won")</f>
        <v>0</v>
      </c>
      <c r="W11" s="5" t="n">
        <f aca="false">COUNTIFS('Grammy nominations'!$A$2:$A$189,B11,'Grammy nominations'!$F$2:$F$189,"same ceremony")</f>
        <v>1</v>
      </c>
      <c r="X11" s="5" t="n">
        <f aca="false">IF(G11=0,"",M11-L11+1-SUMIFS(Breaks!$H$2:$H$31,Breaks!$A$2:$A$31,B11))</f>
        <v>15</v>
      </c>
      <c r="Y11" s="5" t="n">
        <f aca="false">IF(G11=0,"",IF(M11&lt;E11,0,M11-MAX(L11,E11)+1-SUMIFS(Breaks!$H$2:$H$31,Breaks!$A$2:$A$31,B11,Breaks!$C$2:$C$31,"&gt;="&amp;E11)))</f>
        <v>13</v>
      </c>
      <c r="Z11" s="5" t="s">
        <v>82</v>
      </c>
    </row>
    <row r="12" customFormat="false" ht="15" hidden="false" customHeight="false" outlineLevel="0" collapsed="false">
      <c r="A12" s="5" t="s">
        <v>83</v>
      </c>
      <c r="B12" s="5" t="s">
        <v>84</v>
      </c>
      <c r="C12" s="5" t="s">
        <v>51</v>
      </c>
      <c r="D12" s="6" t="n">
        <v>32204</v>
      </c>
      <c r="E12" s="5" t="n">
        <f aca="false">YEAR(D12)</f>
        <v>1988</v>
      </c>
      <c r="F12" s="5" t="s">
        <v>52</v>
      </c>
      <c r="G12" s="5" t="n">
        <f aca="false">COUNTIFS(Albums!$B$2:$B$406,B12)</f>
        <v>5</v>
      </c>
      <c r="H12" s="5" t="n">
        <f aca="false">COUNTIFS(Albums!$B$2:$B$406,B12,Albums!$H$2:$H$406,"yes")</f>
        <v>4</v>
      </c>
      <c r="I12" s="5" t="n">
        <f aca="false">COUNTIFS(Albums!$B$2:$B$406,B12,Albums!$I$2:$I$406,"yes")</f>
        <v>2</v>
      </c>
      <c r="J12" s="5" t="n">
        <f aca="false">COUNTIFS(Albums!$B$2:$B$406,B12,Albums!$J$2:$J$406,"&gt;0")</f>
        <v>2</v>
      </c>
      <c r="K12" s="5" t="n">
        <f aca="false">COUNTIFS(Albums!$B$2:$B$406,B12,Albums!$H$2:$H$406,"yes",Albums!$J$2:$J$406,"&gt;0")</f>
        <v>1</v>
      </c>
      <c r="L12" s="5" t="n">
        <f aca="false">IF(G12=0,"",_xlfn.MINIFS(Albums!$E$2:$E$406,Albums!$B$2:$B$406,B12))</f>
        <v>1986</v>
      </c>
      <c r="M12" s="5" t="n">
        <f aca="false">IF(G12=0,"",_xlfn.MAXIFS(Albums!$E$2:$E$406,Albums!$B$2:$B$406,B12))</f>
        <v>2015</v>
      </c>
      <c r="N12" s="5" t="n">
        <f aca="false">IF(J12=0,"",_xlfn.MINIFS(Albums!$J$2:$J$406,Albums!$B$2:$B$406,B12,Albums!$J$2:$J$406,"&gt;0"))</f>
        <v>16</v>
      </c>
      <c r="O12" s="5" t="n">
        <f aca="false">IF(K12=0,"",_xlfn.MINIFS(Albums!$J$2:$J$406,Albums!$B$2:$B$406,B12,Albums!$H$2:$H$406,"yes",Albums!$J$2:$J$406,"&gt;0"))</f>
        <v>150</v>
      </c>
      <c r="P12" s="5" t="n">
        <f aca="false">COUNTIFS(Albums!$B$2:$B$406,B12,Albums!$H$2:$H$406,"yes",Albums!$J$2:$J$406,"&gt;0",Albums!$J$2:$J$406,"&lt;=40")</f>
        <v>0</v>
      </c>
      <c r="Q12" s="5" t="n">
        <f aca="false">COUNTIFS(Albums!$B$2:$B$406,B12,Albums!$M$2:$M$406,"&gt;0")</f>
        <v>1</v>
      </c>
      <c r="R12" s="5" t="n">
        <f aca="false">COUNTIFS(Albums!$B$2:$B$406,B12,Albums!$H$2:$H$406,"yes",Albums!$M$2:$M$406,"&gt;0")</f>
        <v>0</v>
      </c>
      <c r="S12" s="7" t="n">
        <f aca="false">SUMIFS(Albums!$M$2:$M$406,Albums!$B$2:$B$406,B12)</f>
        <v>0.5</v>
      </c>
      <c r="T12" s="7" t="n">
        <f aca="false">SUMIFS(Albums!$M$2:$M$406,Albums!$B$2:$B$406,B12,Albums!$H$2:$H$406,"yes")</f>
        <v>0</v>
      </c>
      <c r="U12" s="5" t="n">
        <f aca="false">COUNTIFS('Grammy nominations'!$A$2:$A$189,B12,'Grammy nominations'!$F$2:$F$189,"later")</f>
        <v>0</v>
      </c>
      <c r="V12" s="5" t="n">
        <f aca="false">COUNTIFS('Grammy nominations'!$A$2:$A$189,B12,'Grammy nominations'!$F$2:$F$189,"later",'Grammy nominations'!$E$2:$E$189,"won")</f>
        <v>0</v>
      </c>
      <c r="W12" s="5" t="n">
        <f aca="false">COUNTIFS('Grammy nominations'!$A$2:$A$189,B12,'Grammy nominations'!$F$2:$F$189,"same ceremony")</f>
        <v>0</v>
      </c>
      <c r="X12" s="5" t="n">
        <f aca="false">IF(G12=0,"",M12-L12+1-SUMIFS(Breaks!$H$2:$H$31,Breaks!$A$2:$A$31,B12))</f>
        <v>30</v>
      </c>
      <c r="Y12" s="5" t="n">
        <f aca="false">IF(G12=0,"",IF(M12&lt;E12,0,M12-MAX(L12,E12)+1-SUMIFS(Breaks!$H$2:$H$31,Breaks!$A$2:$A$31,B12,Breaks!$C$2:$C$31,"&gt;="&amp;E12)))</f>
        <v>28</v>
      </c>
      <c r="Z12" s="5" t="s">
        <v>85</v>
      </c>
    </row>
    <row r="13" customFormat="false" ht="15" hidden="false" customHeight="false" outlineLevel="0" collapsed="false">
      <c r="A13" s="5" t="s">
        <v>86</v>
      </c>
      <c r="B13" s="5" t="s">
        <v>87</v>
      </c>
      <c r="C13" s="5" t="s">
        <v>59</v>
      </c>
      <c r="D13" s="6" t="n">
        <v>31104</v>
      </c>
      <c r="E13" s="5" t="n">
        <f aca="false">YEAR(D13)</f>
        <v>1985</v>
      </c>
      <c r="F13" s="5" t="s">
        <v>72</v>
      </c>
      <c r="G13" s="5" t="n">
        <f aca="false">COUNTIFS(Albums!$B$2:$B$406,B13)</f>
        <v>11</v>
      </c>
      <c r="H13" s="5" t="n">
        <f aca="false">COUNTIFS(Albums!$B$2:$B$406,B13,Albums!$H$2:$H$406,"yes")</f>
        <v>10</v>
      </c>
      <c r="I13" s="5" t="n">
        <f aca="false">COUNTIFS(Albums!$B$2:$B$406,B13,Albums!$I$2:$I$406,"yes")</f>
        <v>10</v>
      </c>
      <c r="J13" s="5" t="n">
        <f aca="false">COUNTIFS(Albums!$B$2:$B$406,B13,Albums!$J$2:$J$406,"&gt;0")</f>
        <v>9</v>
      </c>
      <c r="K13" s="5" t="n">
        <f aca="false">COUNTIFS(Albums!$B$2:$B$406,B13,Albums!$H$2:$H$406,"yes",Albums!$J$2:$J$406,"&gt;0")</f>
        <v>8</v>
      </c>
      <c r="L13" s="5" t="n">
        <f aca="false">IF(G13=0,"",_xlfn.MINIFS(Albums!$E$2:$E$406,Albums!$B$2:$B$406,B13))</f>
        <v>1983</v>
      </c>
      <c r="M13" s="5" t="n">
        <f aca="false">IF(G13=0,"",_xlfn.MAXIFS(Albums!$E$2:$E$406,Albums!$B$2:$B$406,B13))</f>
        <v>2016</v>
      </c>
      <c r="N13" s="5" t="n">
        <f aca="false">IF(J13=0,"",_xlfn.MINIFS(Albums!$J$2:$J$406,Albums!$B$2:$B$406,B13,Albums!$J$2:$J$406,"&gt;0"))</f>
        <v>4</v>
      </c>
      <c r="O13" s="5" t="n">
        <f aca="false">IF(K13=0,"",_xlfn.MINIFS(Albums!$J$2:$J$406,Albums!$B$2:$B$406,B13,Albums!$H$2:$H$406,"yes",Albums!$J$2:$J$406,"&gt;0"))</f>
        <v>4</v>
      </c>
      <c r="P13" s="5" t="n">
        <f aca="false">COUNTIFS(Albums!$B$2:$B$406,B13,Albums!$H$2:$H$406,"yes",Albums!$J$2:$J$406,"&gt;0",Albums!$J$2:$J$406,"&lt;=40")</f>
        <v>5</v>
      </c>
      <c r="Q13" s="5" t="n">
        <f aca="false">COUNTIFS(Albums!$B$2:$B$406,B13,Albums!$M$2:$M$406,"&gt;0")</f>
        <v>2</v>
      </c>
      <c r="R13" s="5" t="n">
        <f aca="false">COUNTIFS(Albums!$B$2:$B$406,B13,Albums!$H$2:$H$406,"yes",Albums!$M$2:$M$406,"&gt;0")</f>
        <v>1</v>
      </c>
      <c r="S13" s="7" t="n">
        <f aca="false">SUMIFS(Albums!$M$2:$M$406,Albums!$B$2:$B$406,B13)</f>
        <v>9</v>
      </c>
      <c r="T13" s="7" t="n">
        <f aca="false">SUMIFS(Albums!$M$2:$M$406,Albums!$B$2:$B$406,B13,Albums!$H$2:$H$406,"yes")</f>
        <v>2</v>
      </c>
      <c r="U13" s="5" t="n">
        <f aca="false">COUNTIFS('Grammy nominations'!$A$2:$A$189,B13,'Grammy nominations'!$F$2:$F$189,"later")</f>
        <v>11</v>
      </c>
      <c r="V13" s="5" t="n">
        <f aca="false">COUNTIFS('Grammy nominations'!$A$2:$A$189,B13,'Grammy nominations'!$F$2:$F$189,"later",'Grammy nominations'!$E$2:$E$189,"won")</f>
        <v>1</v>
      </c>
      <c r="W13" s="5" t="n">
        <f aca="false">COUNTIFS('Grammy nominations'!$A$2:$A$189,B13,'Grammy nominations'!$F$2:$F$189,"same ceremony")</f>
        <v>4</v>
      </c>
      <c r="X13" s="5" t="n">
        <f aca="false">IF(G13=0,"",M13-L13+1-SUMIFS(Breaks!$H$2:$H$31,Breaks!$A$2:$A$31,B13))</f>
        <v>34</v>
      </c>
      <c r="Y13" s="5" t="n">
        <f aca="false">IF(G13=0,"",IF(M13&lt;E13,0,M13-MAX(L13,E13)+1-SUMIFS(Breaks!$H$2:$H$31,Breaks!$A$2:$A$31,B13,Breaks!$C$2:$C$31,"&gt;="&amp;E13)))</f>
        <v>32</v>
      </c>
      <c r="Z13" s="5" t="s">
        <v>88</v>
      </c>
    </row>
    <row r="14" customFormat="false" ht="15" hidden="false" customHeight="false" outlineLevel="0" collapsed="false">
      <c r="A14" s="5" t="s">
        <v>89</v>
      </c>
      <c r="B14" s="5" t="s">
        <v>90</v>
      </c>
      <c r="C14" s="5" t="s">
        <v>51</v>
      </c>
      <c r="D14" s="6" t="n">
        <v>29278</v>
      </c>
      <c r="E14" s="5" t="n">
        <f aca="false">YEAR(D14)</f>
        <v>1980</v>
      </c>
      <c r="F14" s="5" t="s">
        <v>52</v>
      </c>
      <c r="G14" s="5" t="n">
        <f aca="false">COUNTIFS(Albums!$B$2:$B$406,B14)</f>
        <v>6</v>
      </c>
      <c r="H14" s="5" t="n">
        <f aca="false">COUNTIFS(Albums!$B$2:$B$406,B14,Albums!$H$2:$H$406,"yes")</f>
        <v>4</v>
      </c>
      <c r="I14" s="5" t="n">
        <f aca="false">COUNTIFS(Albums!$B$2:$B$406,B14,Albums!$I$2:$I$406,"yes")</f>
        <v>6</v>
      </c>
      <c r="J14" s="5" t="n">
        <f aca="false">COUNTIFS(Albums!$B$2:$B$406,B14,Albums!$J$2:$J$406,"&gt;0")</f>
        <v>6</v>
      </c>
      <c r="K14" s="5" t="n">
        <f aca="false">COUNTIFS(Albums!$B$2:$B$406,B14,Albums!$H$2:$H$406,"yes",Albums!$J$2:$J$406,"&gt;0")</f>
        <v>4</v>
      </c>
      <c r="L14" s="5" t="n">
        <f aca="false">IF(G14=0,"",_xlfn.MINIFS(Albums!$E$2:$E$406,Albums!$B$2:$B$406,B14))</f>
        <v>1978</v>
      </c>
      <c r="M14" s="5" t="n">
        <f aca="false">IF(G14=0,"",_xlfn.MAXIFS(Albums!$E$2:$E$406,Albums!$B$2:$B$406,B14))</f>
        <v>1991</v>
      </c>
      <c r="N14" s="5" t="n">
        <f aca="false">IF(J14=0,"",_xlfn.MINIFS(Albums!$J$2:$J$406,Albums!$B$2:$B$406,B14,Albums!$J$2:$J$406,"&gt;0"))</f>
        <v>1</v>
      </c>
      <c r="O14" s="5" t="n">
        <f aca="false">IF(K14=0,"",_xlfn.MINIFS(Albums!$J$2:$J$406,Albums!$B$2:$B$406,B14,Albums!$H$2:$H$406,"yes",Albums!$J$2:$J$406,"&gt;0"))</f>
        <v>1</v>
      </c>
      <c r="P14" s="5" t="n">
        <f aca="false">COUNTIFS(Albums!$B$2:$B$406,B14,Albums!$H$2:$H$406,"yes",Albums!$J$2:$J$406,"&gt;0",Albums!$J$2:$J$406,"&lt;=40")</f>
        <v>4</v>
      </c>
      <c r="Q14" s="5" t="n">
        <f aca="false">COUNTIFS(Albums!$B$2:$B$406,B14,Albums!$M$2:$M$406,"&gt;0")</f>
        <v>6</v>
      </c>
      <c r="R14" s="5" t="n">
        <f aca="false">COUNTIFS(Albums!$B$2:$B$406,B14,Albums!$H$2:$H$406,"yes",Albums!$M$2:$M$406,"&gt;0")</f>
        <v>4</v>
      </c>
      <c r="S14" s="7" t="n">
        <f aca="false">SUMIFS(Albums!$M$2:$M$406,Albums!$B$2:$B$406,B14)</f>
        <v>14</v>
      </c>
      <c r="T14" s="7" t="n">
        <f aca="false">SUMIFS(Albums!$M$2:$M$406,Albums!$B$2:$B$406,B14,Albums!$H$2:$H$406,"yes")</f>
        <v>11.5</v>
      </c>
      <c r="U14" s="5" t="n">
        <f aca="false">COUNTIFS('Grammy nominations'!$A$2:$A$189,B14,'Grammy nominations'!$F$2:$F$189,"later")</f>
        <v>5</v>
      </c>
      <c r="V14" s="5" t="n">
        <f aca="false">COUNTIFS('Grammy nominations'!$A$2:$A$189,B14,'Grammy nominations'!$F$2:$F$189,"later",'Grammy nominations'!$E$2:$E$189,"won")</f>
        <v>2</v>
      </c>
      <c r="W14" s="5" t="n">
        <f aca="false">COUNTIFS('Grammy nominations'!$A$2:$A$189,B14,'Grammy nominations'!$F$2:$F$189,"same ceremony")</f>
        <v>1</v>
      </c>
      <c r="X14" s="5" t="n">
        <f aca="false">IF(G14=0,"",M14-L14+1-SUMIFS(Breaks!$H$2:$H$31,Breaks!$A$2:$A$31,B14))</f>
        <v>12</v>
      </c>
      <c r="Y14" s="5" t="n">
        <f aca="false">IF(G14=0,"",IF(M14&lt;E14,0,M14-MAX(L14,E14)+1-SUMIFS(Breaks!$H$2:$H$31,Breaks!$A$2:$A$31,B14,Breaks!$C$2:$C$31,"&gt;="&amp;E14)))</f>
        <v>10</v>
      </c>
      <c r="Z14" s="5" t="s">
        <v>91</v>
      </c>
    </row>
    <row r="15" customFormat="false" ht="15" hidden="false" customHeight="false" outlineLevel="0" collapsed="false">
      <c r="A15" s="5" t="s">
        <v>92</v>
      </c>
      <c r="B15" s="5" t="s">
        <v>93</v>
      </c>
      <c r="C15" s="5" t="s">
        <v>51</v>
      </c>
      <c r="D15" s="6" t="n">
        <v>30740</v>
      </c>
      <c r="E15" s="5" t="n">
        <f aca="false">YEAR(D15)</f>
        <v>1984</v>
      </c>
      <c r="F15" s="5" t="s">
        <v>52</v>
      </c>
      <c r="G15" s="5" t="n">
        <f aca="false">COUNTIFS(Albums!$B$2:$B$406,B15)</f>
        <v>8</v>
      </c>
      <c r="H15" s="5" t="n">
        <f aca="false">COUNTIFS(Albums!$B$2:$B$406,B15,Albums!$H$2:$H$406,"yes")</f>
        <v>5</v>
      </c>
      <c r="I15" s="5" t="n">
        <f aca="false">COUNTIFS(Albums!$B$2:$B$406,B15,Albums!$I$2:$I$406,"yes")</f>
        <v>7</v>
      </c>
      <c r="J15" s="5" t="n">
        <f aca="false">COUNTIFS(Albums!$B$2:$B$406,B15,Albums!$J$2:$J$406,"&gt;0")</f>
        <v>7</v>
      </c>
      <c r="K15" s="5" t="n">
        <f aca="false">COUNTIFS(Albums!$B$2:$B$406,B15,Albums!$H$2:$H$406,"yes",Albums!$J$2:$J$406,"&gt;0")</f>
        <v>5</v>
      </c>
      <c r="L15" s="5" t="n">
        <f aca="false">IF(G15=0,"",_xlfn.MINIFS(Albums!$E$2:$E$406,Albums!$B$2:$B$406,B15))</f>
        <v>1981</v>
      </c>
      <c r="M15" s="5" t="n">
        <f aca="false">IF(G15=0,"",_xlfn.MAXIFS(Albums!$E$2:$E$406,Albums!$B$2:$B$406,B15))</f>
        <v>1999</v>
      </c>
      <c r="N15" s="5" t="n">
        <f aca="false">IF(J15=0,"",_xlfn.MINIFS(Albums!$J$2:$J$406,Albums!$B$2:$B$406,B15,Albums!$J$2:$J$406,"&gt;0"))</f>
        <v>7</v>
      </c>
      <c r="O15" s="5" t="n">
        <f aca="false">IF(K15=0,"",_xlfn.MINIFS(Albums!$J$2:$J$406,Albums!$B$2:$B$406,B15,Albums!$H$2:$H$406,"yes",Albums!$J$2:$J$406,"&gt;0"))</f>
        <v>9</v>
      </c>
      <c r="P15" s="5" t="n">
        <f aca="false">COUNTIFS(Albums!$B$2:$B$406,B15,Albums!$H$2:$H$406,"yes",Albums!$J$2:$J$406,"&gt;0",Albums!$J$2:$J$406,"&lt;=40")</f>
        <v>4</v>
      </c>
      <c r="Q15" s="5" t="n">
        <f aca="false">COUNTIFS(Albums!$B$2:$B$406,B15,Albums!$M$2:$M$406,"&gt;0")</f>
        <v>5</v>
      </c>
      <c r="R15" s="5" t="n">
        <f aca="false">COUNTIFS(Albums!$B$2:$B$406,B15,Albums!$H$2:$H$406,"yes",Albums!$M$2:$M$406,"&gt;0")</f>
        <v>3</v>
      </c>
      <c r="S15" s="7" t="n">
        <f aca="false">SUMIFS(Albums!$M$2:$M$406,Albums!$B$2:$B$406,B15)</f>
        <v>3.5</v>
      </c>
      <c r="T15" s="7" t="n">
        <f aca="false">SUMIFS(Albums!$M$2:$M$406,Albums!$B$2:$B$406,B15,Albums!$H$2:$H$406,"yes")</f>
        <v>2</v>
      </c>
      <c r="U15" s="5" t="n">
        <f aca="false">COUNTIFS('Grammy nominations'!$A$2:$A$189,B15,'Grammy nominations'!$F$2:$F$189,"later")</f>
        <v>6</v>
      </c>
      <c r="V15" s="5" t="n">
        <f aca="false">COUNTIFS('Grammy nominations'!$A$2:$A$189,B15,'Grammy nominations'!$F$2:$F$189,"later",'Grammy nominations'!$E$2:$E$189,"won")</f>
        <v>1</v>
      </c>
      <c r="W15" s="5" t="n">
        <f aca="false">COUNTIFS('Grammy nominations'!$A$2:$A$189,B15,'Grammy nominations'!$F$2:$F$189,"same ceremony")</f>
        <v>0</v>
      </c>
      <c r="X15" s="5" t="n">
        <f aca="false">IF(G15=0,"",M15-L15+1-SUMIFS(Breaks!$H$2:$H$31,Breaks!$A$2:$A$31,B15))</f>
        <v>11</v>
      </c>
      <c r="Y15" s="5" t="n">
        <f aca="false">IF(G15=0,"",IF(M15&lt;E15,0,M15-MAX(L15,E15)+1-SUMIFS(Breaks!$H$2:$H$31,Breaks!$A$2:$A$31,B15,Breaks!$C$2:$C$31,"&gt;="&amp;E15)))</f>
        <v>8</v>
      </c>
      <c r="Z15" s="5" t="s">
        <v>94</v>
      </c>
    </row>
    <row r="16" customFormat="false" ht="15" hidden="false" customHeight="false" outlineLevel="0" collapsed="false">
      <c r="A16" s="5" t="s">
        <v>95</v>
      </c>
      <c r="B16" s="5" t="s">
        <v>96</v>
      </c>
      <c r="C16" s="5" t="s">
        <v>51</v>
      </c>
      <c r="D16" s="6" t="n">
        <v>31104</v>
      </c>
      <c r="E16" s="5" t="n">
        <f aca="false">YEAR(D16)</f>
        <v>1985</v>
      </c>
      <c r="F16" s="5" t="s">
        <v>52</v>
      </c>
      <c r="G16" s="5" t="n">
        <f aca="false">COUNTIFS(Albums!$B$2:$B$406,B16)</f>
        <v>2</v>
      </c>
      <c r="H16" s="5" t="n">
        <f aca="false">COUNTIFS(Albums!$B$2:$B$406,B16,Albums!$H$2:$H$406,"yes")</f>
        <v>1</v>
      </c>
      <c r="I16" s="5" t="n">
        <f aca="false">COUNTIFS(Albums!$B$2:$B$406,B16,Albums!$I$2:$I$406,"yes")</f>
        <v>2</v>
      </c>
      <c r="J16" s="5" t="n">
        <f aca="false">COUNTIFS(Albums!$B$2:$B$406,B16,Albums!$J$2:$J$406,"&gt;0")</f>
        <v>2</v>
      </c>
      <c r="K16" s="5" t="n">
        <f aca="false">COUNTIFS(Albums!$B$2:$B$406,B16,Albums!$H$2:$H$406,"yes",Albums!$J$2:$J$406,"&gt;0")</f>
        <v>1</v>
      </c>
      <c r="L16" s="5" t="n">
        <f aca="false">IF(G16=0,"",_xlfn.MINIFS(Albums!$E$2:$E$406,Albums!$B$2:$B$406,B16))</f>
        <v>1984</v>
      </c>
      <c r="M16" s="5" t="n">
        <f aca="false">IF(G16=0,"",_xlfn.MAXIFS(Albums!$E$2:$E$406,Albums!$B$2:$B$406,B16))</f>
        <v>1986</v>
      </c>
      <c r="N16" s="5" t="n">
        <f aca="false">IF(J16=0,"",_xlfn.MINIFS(Albums!$J$2:$J$406,Albums!$B$2:$B$406,B16,Albums!$J$2:$J$406,"&gt;0"))</f>
        <v>33</v>
      </c>
      <c r="O16" s="5" t="n">
        <f aca="false">IF(K16=0,"",_xlfn.MINIFS(Albums!$J$2:$J$406,Albums!$B$2:$B$406,B16,Albums!$H$2:$H$406,"yes",Albums!$J$2:$J$406,"&gt;0"))</f>
        <v>88</v>
      </c>
      <c r="P16" s="5" t="n">
        <f aca="false">COUNTIFS(Albums!$B$2:$B$406,B16,Albums!$H$2:$H$406,"yes",Albums!$J$2:$J$406,"&gt;0",Albums!$J$2:$J$406,"&lt;=40")</f>
        <v>0</v>
      </c>
      <c r="Q16" s="5" t="n">
        <f aca="false">COUNTIFS(Albums!$B$2:$B$406,B16,Albums!$M$2:$M$406,"&gt;0")</f>
        <v>1</v>
      </c>
      <c r="R16" s="5" t="n">
        <f aca="false">COUNTIFS(Albums!$B$2:$B$406,B16,Albums!$H$2:$H$406,"yes",Albums!$M$2:$M$406,"&gt;0")</f>
        <v>0</v>
      </c>
      <c r="S16" s="7" t="n">
        <f aca="false">SUMIFS(Albums!$M$2:$M$406,Albums!$B$2:$B$406,B16)</f>
        <v>0.5</v>
      </c>
      <c r="T16" s="7" t="n">
        <f aca="false">SUMIFS(Albums!$M$2:$M$406,Albums!$B$2:$B$406,B16,Albums!$H$2:$H$406,"yes")</f>
        <v>0</v>
      </c>
      <c r="U16" s="5" t="n">
        <f aca="false">COUNTIFS('Grammy nominations'!$A$2:$A$189,B16,'Grammy nominations'!$F$2:$F$189,"later")</f>
        <v>0</v>
      </c>
      <c r="V16" s="5" t="n">
        <f aca="false">COUNTIFS('Grammy nominations'!$A$2:$A$189,B16,'Grammy nominations'!$F$2:$F$189,"later",'Grammy nominations'!$E$2:$E$189,"won")</f>
        <v>0</v>
      </c>
      <c r="W16" s="5" t="n">
        <f aca="false">COUNTIFS('Grammy nominations'!$A$2:$A$189,B16,'Grammy nominations'!$F$2:$F$189,"same ceremony")</f>
        <v>0</v>
      </c>
      <c r="X16" s="5" t="n">
        <f aca="false">IF(G16=0,"",M16-L16+1-SUMIFS(Breaks!$H$2:$H$31,Breaks!$A$2:$A$31,B16))</f>
        <v>3</v>
      </c>
      <c r="Y16" s="5" t="n">
        <f aca="false">IF(G16=0,"",IF(M16&lt;E16,0,M16-MAX(L16,E16)+1-SUMIFS(Breaks!$H$2:$H$31,Breaks!$A$2:$A$31,B16,Breaks!$C$2:$C$31,"&gt;="&amp;E16)))</f>
        <v>2</v>
      </c>
      <c r="Z16" s="5" t="s">
        <v>97</v>
      </c>
    </row>
    <row r="17" customFormat="false" ht="15" hidden="false" customHeight="false" outlineLevel="0" collapsed="false">
      <c r="A17" s="5" t="s">
        <v>98</v>
      </c>
      <c r="B17" s="5" t="s">
        <v>99</v>
      </c>
      <c r="C17" s="5" t="s">
        <v>59</v>
      </c>
      <c r="D17" s="6" t="n">
        <v>31468</v>
      </c>
      <c r="E17" s="5" t="n">
        <f aca="false">YEAR(D17)</f>
        <v>1986</v>
      </c>
      <c r="F17" s="5" t="s">
        <v>52</v>
      </c>
      <c r="G17" s="5" t="n">
        <f aca="false">COUNTIFS(Albums!$B$2:$B$406,B17)</f>
        <v>15</v>
      </c>
      <c r="H17" s="5" t="n">
        <f aca="false">COUNTIFS(Albums!$B$2:$B$406,B17,Albums!$H$2:$H$406,"yes")</f>
        <v>14</v>
      </c>
      <c r="I17" s="5" t="n">
        <f aca="false">COUNTIFS(Albums!$B$2:$B$406,B17,Albums!$I$2:$I$406,"yes")</f>
        <v>12</v>
      </c>
      <c r="J17" s="5" t="n">
        <f aca="false">COUNTIFS(Albums!$B$2:$B$406,B17,Albums!$J$2:$J$406,"&gt;0")</f>
        <v>7</v>
      </c>
      <c r="K17" s="5" t="n">
        <f aca="false">COUNTIFS(Albums!$B$2:$B$406,B17,Albums!$H$2:$H$406,"yes",Albums!$J$2:$J$406,"&gt;0")</f>
        <v>6</v>
      </c>
      <c r="L17" s="5" t="n">
        <f aca="false">IF(G17=0,"",_xlfn.MINIFS(Albums!$E$2:$E$406,Albums!$B$2:$B$406,B17))</f>
        <v>1985</v>
      </c>
      <c r="M17" s="5" t="n">
        <f aca="false">IF(G17=0,"",_xlfn.MAXIFS(Albums!$E$2:$E$406,Albums!$B$2:$B$406,B17))</f>
        <v>2023</v>
      </c>
      <c r="N17" s="5" t="n">
        <f aca="false">IF(J17=0,"",_xlfn.MINIFS(Albums!$J$2:$J$406,Albums!$B$2:$B$406,B17,Albums!$J$2:$J$406,"&gt;0"))</f>
        <v>10</v>
      </c>
      <c r="O17" s="5" t="n">
        <f aca="false">IF(K17=0,"",_xlfn.MINIFS(Albums!$J$2:$J$406,Albums!$B$2:$B$406,B17,Albums!$H$2:$H$406,"yes",Albums!$J$2:$J$406,"&gt;0"))</f>
        <v>23</v>
      </c>
      <c r="P17" s="5" t="n">
        <f aca="false">COUNTIFS(Albums!$B$2:$B$406,B17,Albums!$H$2:$H$406,"yes",Albums!$J$2:$J$406,"&gt;0",Albums!$J$2:$J$406,"&lt;=40")</f>
        <v>1</v>
      </c>
      <c r="Q17" s="5" t="n">
        <f aca="false">COUNTIFS(Albums!$B$2:$B$406,B17,Albums!$M$2:$M$406,"&gt;0")</f>
        <v>4</v>
      </c>
      <c r="R17" s="5" t="n">
        <f aca="false">COUNTIFS(Albums!$B$2:$B$406,B17,Albums!$H$2:$H$406,"yes",Albums!$M$2:$M$406,"&gt;0")</f>
        <v>3</v>
      </c>
      <c r="S17" s="7" t="n">
        <f aca="false">SUMIFS(Albums!$M$2:$M$406,Albums!$B$2:$B$406,B17)</f>
        <v>3</v>
      </c>
      <c r="T17" s="7" t="n">
        <f aca="false">SUMIFS(Albums!$M$2:$M$406,Albums!$B$2:$B$406,B17,Albums!$H$2:$H$406,"yes")</f>
        <v>2</v>
      </c>
      <c r="U17" s="5" t="n">
        <f aca="false">COUNTIFS('Grammy nominations'!$A$2:$A$189,B17,'Grammy nominations'!$F$2:$F$189,"later")</f>
        <v>0</v>
      </c>
      <c r="V17" s="5" t="n">
        <f aca="false">COUNTIFS('Grammy nominations'!$A$2:$A$189,B17,'Grammy nominations'!$F$2:$F$189,"later",'Grammy nominations'!$E$2:$E$189,"won")</f>
        <v>0</v>
      </c>
      <c r="W17" s="5" t="n">
        <f aca="false">COUNTIFS('Grammy nominations'!$A$2:$A$189,B17,'Grammy nominations'!$F$2:$F$189,"same ceremony")</f>
        <v>1</v>
      </c>
      <c r="X17" s="5" t="n">
        <f aca="false">IF(G17=0,"",M17-L17+1-SUMIFS(Breaks!$H$2:$H$31,Breaks!$A$2:$A$31,B17))</f>
        <v>39</v>
      </c>
      <c r="Y17" s="5" t="n">
        <f aca="false">IF(G17=0,"",IF(M17&lt;E17,0,M17-MAX(L17,E17)+1-SUMIFS(Breaks!$H$2:$H$31,Breaks!$A$2:$A$31,B17,Breaks!$C$2:$C$31,"&gt;="&amp;E17)))</f>
        <v>38</v>
      </c>
      <c r="Z17" s="5" t="s">
        <v>100</v>
      </c>
    </row>
    <row r="18" customFormat="false" ht="15" hidden="false" customHeight="false" outlineLevel="0" collapsed="false">
      <c r="A18" s="5" t="s">
        <v>101</v>
      </c>
      <c r="B18" s="5" t="s">
        <v>102</v>
      </c>
      <c r="C18" s="5" t="s">
        <v>51</v>
      </c>
      <c r="D18" s="6" t="n">
        <v>31832</v>
      </c>
      <c r="E18" s="5" t="n">
        <f aca="false">YEAR(D18)</f>
        <v>1987</v>
      </c>
      <c r="F18" s="5" t="s">
        <v>52</v>
      </c>
      <c r="G18" s="5" t="n">
        <f aca="false">COUNTIFS(Albums!$B$2:$B$406,B18)</f>
        <v>4</v>
      </c>
      <c r="H18" s="5" t="n">
        <f aca="false">COUNTIFS(Albums!$B$2:$B$406,B18,Albums!$H$2:$H$406,"yes")</f>
        <v>3</v>
      </c>
      <c r="I18" s="5" t="n">
        <f aca="false">COUNTIFS(Albums!$B$2:$B$406,B18,Albums!$I$2:$I$406,"yes")</f>
        <v>2</v>
      </c>
      <c r="J18" s="5" t="n">
        <f aca="false">COUNTIFS(Albums!$B$2:$B$406,B18,Albums!$J$2:$J$406,"&gt;0")</f>
        <v>2</v>
      </c>
      <c r="K18" s="5" t="n">
        <f aca="false">COUNTIFS(Albums!$B$2:$B$406,B18,Albums!$H$2:$H$406,"yes",Albums!$J$2:$J$406,"&gt;0")</f>
        <v>1</v>
      </c>
      <c r="L18" s="5" t="n">
        <f aca="false">IF(G18=0,"",_xlfn.MINIFS(Albums!$E$2:$E$406,Albums!$B$2:$B$406,B18))</f>
        <v>1986</v>
      </c>
      <c r="M18" s="5" t="n">
        <f aca="false">IF(G18=0,"",_xlfn.MAXIFS(Albums!$E$2:$E$406,Albums!$B$2:$B$406,B18))</f>
        <v>2020</v>
      </c>
      <c r="N18" s="5" t="n">
        <f aca="false">IF(J18=0,"",_xlfn.MINIFS(Albums!$J$2:$J$406,Albums!$B$2:$B$406,B18,Albums!$J$2:$J$406,"&gt;0"))</f>
        <v>27</v>
      </c>
      <c r="O18" s="5" t="n">
        <f aca="false">IF(K18=0,"",_xlfn.MINIFS(Albums!$J$2:$J$406,Albums!$B$2:$B$406,B18,Albums!$H$2:$H$406,"yes",Albums!$J$2:$J$406,"&gt;0"))</f>
        <v>82</v>
      </c>
      <c r="P18" s="5" t="n">
        <f aca="false">COUNTIFS(Albums!$B$2:$B$406,B18,Albums!$H$2:$H$406,"yes",Albums!$J$2:$J$406,"&gt;0",Albums!$J$2:$J$406,"&lt;=40")</f>
        <v>0</v>
      </c>
      <c r="Q18" s="5" t="n">
        <f aca="false">COUNTIFS(Albums!$B$2:$B$406,B18,Albums!$M$2:$M$406,"&gt;0")</f>
        <v>1</v>
      </c>
      <c r="R18" s="5" t="n">
        <f aca="false">COUNTIFS(Albums!$B$2:$B$406,B18,Albums!$H$2:$H$406,"yes",Albums!$M$2:$M$406,"&gt;0")</f>
        <v>0</v>
      </c>
      <c r="S18" s="7" t="n">
        <f aca="false">SUMIFS(Albums!$M$2:$M$406,Albums!$B$2:$B$406,B18)</f>
        <v>0.5</v>
      </c>
      <c r="T18" s="7" t="n">
        <f aca="false">SUMIFS(Albums!$M$2:$M$406,Albums!$B$2:$B$406,B18,Albums!$H$2:$H$406,"yes")</f>
        <v>0</v>
      </c>
      <c r="U18" s="5" t="n">
        <f aca="false">COUNTIFS('Grammy nominations'!$A$2:$A$189,B18,'Grammy nominations'!$F$2:$F$189,"later")</f>
        <v>0</v>
      </c>
      <c r="V18" s="5" t="n">
        <f aca="false">COUNTIFS('Grammy nominations'!$A$2:$A$189,B18,'Grammy nominations'!$F$2:$F$189,"later",'Grammy nominations'!$E$2:$E$189,"won")</f>
        <v>0</v>
      </c>
      <c r="W18" s="5" t="n">
        <f aca="false">COUNTIFS('Grammy nominations'!$A$2:$A$189,B18,'Grammy nominations'!$F$2:$F$189,"same ceremony")</f>
        <v>0</v>
      </c>
      <c r="X18" s="5" t="n">
        <f aca="false">IF(G18=0,"",M18-L18+1-SUMIFS(Breaks!$H$2:$H$31,Breaks!$A$2:$A$31,B18))</f>
        <v>26</v>
      </c>
      <c r="Y18" s="5" t="n">
        <f aca="false">IF(G18=0,"",IF(M18&lt;E18,0,M18-MAX(L18,E18)+1-SUMIFS(Breaks!$H$2:$H$31,Breaks!$A$2:$A$31,B18,Breaks!$C$2:$C$31,"&gt;="&amp;E18)))</f>
        <v>25</v>
      </c>
      <c r="Z18" s="5" t="s">
        <v>103</v>
      </c>
    </row>
    <row r="19" customFormat="false" ht="15" hidden="false" customHeight="false" outlineLevel="0" collapsed="false">
      <c r="A19" s="5" t="s">
        <v>104</v>
      </c>
      <c r="B19" s="5" t="s">
        <v>105</v>
      </c>
      <c r="C19" s="5" t="s">
        <v>51</v>
      </c>
      <c r="D19" s="6" t="n">
        <v>30006</v>
      </c>
      <c r="E19" s="5" t="n">
        <f aca="false">YEAR(D19)</f>
        <v>1982</v>
      </c>
      <c r="F19" s="5" t="s">
        <v>52</v>
      </c>
      <c r="G19" s="5" t="n">
        <f aca="false">COUNTIFS(Albums!$B$2:$B$406,B19)</f>
        <v>4</v>
      </c>
      <c r="H19" s="5" t="n">
        <f aca="false">COUNTIFS(Albums!$B$2:$B$406,B19,Albums!$H$2:$H$406,"yes")</f>
        <v>3</v>
      </c>
      <c r="I19" s="5" t="n">
        <f aca="false">COUNTIFS(Albums!$B$2:$B$406,B19,Albums!$I$2:$I$406,"yes")</f>
        <v>4</v>
      </c>
      <c r="J19" s="5" t="n">
        <f aca="false">COUNTIFS(Albums!$B$2:$B$406,B19,Albums!$J$2:$J$406,"&gt;0")</f>
        <v>4</v>
      </c>
      <c r="K19" s="5" t="n">
        <f aca="false">COUNTIFS(Albums!$B$2:$B$406,B19,Albums!$H$2:$H$406,"yes",Albums!$J$2:$J$406,"&gt;0")</f>
        <v>3</v>
      </c>
      <c r="L19" s="5" t="n">
        <f aca="false">IF(G19=0,"",_xlfn.MINIFS(Albums!$E$2:$E$406,Albums!$B$2:$B$406,B19))</f>
        <v>1981</v>
      </c>
      <c r="M19" s="5" t="n">
        <f aca="false">IF(G19=0,"",_xlfn.MAXIFS(Albums!$E$2:$E$406,Albums!$B$2:$B$406,B19))</f>
        <v>2001</v>
      </c>
      <c r="N19" s="5" t="n">
        <f aca="false">IF(J19=0,"",_xlfn.MINIFS(Albums!$J$2:$J$406,Albums!$B$2:$B$406,B19,Albums!$J$2:$J$406,"&gt;0"))</f>
        <v>1</v>
      </c>
      <c r="O19" s="5" t="n">
        <f aca="false">IF(K19=0,"",_xlfn.MINIFS(Albums!$J$2:$J$406,Albums!$B$2:$B$406,B19,Albums!$H$2:$H$406,"yes",Albums!$J$2:$J$406,"&gt;0"))</f>
        <v>8</v>
      </c>
      <c r="P19" s="5" t="n">
        <f aca="false">COUNTIFS(Albums!$B$2:$B$406,B19,Albums!$H$2:$H$406,"yes",Albums!$J$2:$J$406,"&gt;0",Albums!$J$2:$J$406,"&lt;=40")</f>
        <v>2</v>
      </c>
      <c r="Q19" s="5" t="n">
        <f aca="false">COUNTIFS(Albums!$B$2:$B$406,B19,Albums!$M$2:$M$406,"&gt;0")</f>
        <v>2</v>
      </c>
      <c r="R19" s="5" t="n">
        <f aca="false">COUNTIFS(Albums!$B$2:$B$406,B19,Albums!$H$2:$H$406,"yes",Albums!$M$2:$M$406,"&gt;0")</f>
        <v>1</v>
      </c>
      <c r="S19" s="7" t="n">
        <f aca="false">SUMIFS(Albums!$M$2:$M$406,Albums!$B$2:$B$406,B19)</f>
        <v>2.5</v>
      </c>
      <c r="T19" s="7" t="n">
        <f aca="false">SUMIFS(Albums!$M$2:$M$406,Albums!$B$2:$B$406,B19,Albums!$H$2:$H$406,"yes")</f>
        <v>0.5</v>
      </c>
      <c r="U19" s="5" t="n">
        <f aca="false">COUNTIFS('Grammy nominations'!$A$2:$A$189,B19,'Grammy nominations'!$F$2:$F$189,"later")</f>
        <v>0</v>
      </c>
      <c r="V19" s="5" t="n">
        <f aca="false">COUNTIFS('Grammy nominations'!$A$2:$A$189,B19,'Grammy nominations'!$F$2:$F$189,"later",'Grammy nominations'!$E$2:$E$189,"won")</f>
        <v>0</v>
      </c>
      <c r="W19" s="5" t="n">
        <f aca="false">COUNTIFS('Grammy nominations'!$A$2:$A$189,B19,'Grammy nominations'!$F$2:$F$189,"same ceremony")</f>
        <v>0</v>
      </c>
      <c r="X19" s="5" t="n">
        <f aca="false">IF(G19=0,"",M19-L19+1-SUMIFS(Breaks!$H$2:$H$31,Breaks!$A$2:$A$31,B19))</f>
        <v>13</v>
      </c>
      <c r="Y19" s="5" t="n">
        <f aca="false">IF(G19=0,"",IF(M19&lt;E19,0,M19-MAX(L19,E19)+1-SUMIFS(Breaks!$H$2:$H$31,Breaks!$A$2:$A$31,B19,Breaks!$C$2:$C$31,"&gt;="&amp;E19)))</f>
        <v>12</v>
      </c>
      <c r="Z19" s="5" t="s">
        <v>106</v>
      </c>
    </row>
    <row r="20" customFormat="false" ht="15" hidden="false" customHeight="false" outlineLevel="0" collapsed="false">
      <c r="A20" s="5" t="s">
        <v>107</v>
      </c>
      <c r="B20" s="5" t="s">
        <v>108</v>
      </c>
      <c r="C20" s="5" t="s">
        <v>51</v>
      </c>
      <c r="D20" s="6" t="n">
        <v>30370</v>
      </c>
      <c r="E20" s="5" t="n">
        <f aca="false">YEAR(D20)</f>
        <v>1983</v>
      </c>
      <c r="F20" s="5" t="s">
        <v>52</v>
      </c>
      <c r="G20" s="5" t="n">
        <f aca="false">COUNTIFS(Albums!$B$2:$B$406,B20)</f>
        <v>9</v>
      </c>
      <c r="H20" s="5" t="n">
        <f aca="false">COUNTIFS(Albums!$B$2:$B$406,B20,Albums!$H$2:$H$406,"yes")</f>
        <v>6</v>
      </c>
      <c r="I20" s="5" t="n">
        <f aca="false">COUNTIFS(Albums!$B$2:$B$406,B20,Albums!$I$2:$I$406,"yes")</f>
        <v>7</v>
      </c>
      <c r="J20" s="5" t="n">
        <f aca="false">COUNTIFS(Albums!$B$2:$B$406,B20,Albums!$J$2:$J$406,"&gt;0")</f>
        <v>3</v>
      </c>
      <c r="K20" s="5" t="n">
        <f aca="false">COUNTIFS(Albums!$B$2:$B$406,B20,Albums!$H$2:$H$406,"yes",Albums!$J$2:$J$406,"&gt;0")</f>
        <v>2</v>
      </c>
      <c r="L20" s="5" t="n">
        <f aca="false">IF(G20=0,"",_xlfn.MINIFS(Albums!$E$2:$E$406,Albums!$B$2:$B$406,B20))</f>
        <v>1979</v>
      </c>
      <c r="M20" s="5" t="n">
        <f aca="false">IF(G20=0,"",_xlfn.MAXIFS(Albums!$E$2:$E$406,Albums!$B$2:$B$406,B20))</f>
        <v>2011</v>
      </c>
      <c r="N20" s="5" t="n">
        <f aca="false">IF(J20=0,"",_xlfn.MINIFS(Albums!$J$2:$J$406,Albums!$B$2:$B$406,B20,Albums!$J$2:$J$406,"&gt;0"))</f>
        <v>3</v>
      </c>
      <c r="O20" s="5" t="n">
        <f aca="false">IF(K20=0,"",_xlfn.MINIFS(Albums!$J$2:$J$406,Albums!$B$2:$B$406,B20,Albums!$H$2:$H$406,"yes",Albums!$J$2:$J$406,"&gt;0"))</f>
        <v>24</v>
      </c>
      <c r="P20" s="5" t="n">
        <f aca="false">COUNTIFS(Albums!$B$2:$B$406,B20,Albums!$H$2:$H$406,"yes",Albums!$J$2:$J$406,"&gt;0",Albums!$J$2:$J$406,"&lt;=40")</f>
        <v>1</v>
      </c>
      <c r="Q20" s="5" t="n">
        <f aca="false">COUNTIFS(Albums!$B$2:$B$406,B20,Albums!$M$2:$M$406,"&gt;0")</f>
        <v>1</v>
      </c>
      <c r="R20" s="5" t="n">
        <f aca="false">COUNTIFS(Albums!$B$2:$B$406,B20,Albums!$H$2:$H$406,"yes",Albums!$M$2:$M$406,"&gt;0")</f>
        <v>0</v>
      </c>
      <c r="S20" s="7" t="n">
        <f aca="false">SUMIFS(Albums!$M$2:$M$406,Albums!$B$2:$B$406,B20)</f>
        <v>0.5</v>
      </c>
      <c r="T20" s="7" t="n">
        <f aca="false">SUMIFS(Albums!$M$2:$M$406,Albums!$B$2:$B$406,B20,Albums!$H$2:$H$406,"yes")</f>
        <v>0</v>
      </c>
      <c r="U20" s="5" t="n">
        <f aca="false">COUNTIFS('Grammy nominations'!$A$2:$A$189,B20,'Grammy nominations'!$F$2:$F$189,"later")</f>
        <v>0</v>
      </c>
      <c r="V20" s="5" t="n">
        <f aca="false">COUNTIFS('Grammy nominations'!$A$2:$A$189,B20,'Grammy nominations'!$F$2:$F$189,"later",'Grammy nominations'!$E$2:$E$189,"won")</f>
        <v>0</v>
      </c>
      <c r="W20" s="5" t="n">
        <f aca="false">COUNTIFS('Grammy nominations'!$A$2:$A$189,B20,'Grammy nominations'!$F$2:$F$189,"same ceremony")</f>
        <v>0</v>
      </c>
      <c r="X20" s="5" t="n">
        <f aca="false">IF(G20=0,"",M20-L20+1-SUMIFS(Breaks!$H$2:$H$31,Breaks!$A$2:$A$31,B20))</f>
        <v>33</v>
      </c>
      <c r="Y20" s="5" t="n">
        <f aca="false">IF(G20=0,"",IF(M20&lt;E20,0,M20-MAX(L20,E20)+1-SUMIFS(Breaks!$H$2:$H$31,Breaks!$A$2:$A$31,B20,Breaks!$C$2:$C$31,"&gt;="&amp;E20)))</f>
        <v>29</v>
      </c>
      <c r="Z20" s="5" t="s">
        <v>109</v>
      </c>
    </row>
    <row r="21" customFormat="false" ht="15" hidden="false" customHeight="false" outlineLevel="0" collapsed="false">
      <c r="A21" s="5" t="s">
        <v>110</v>
      </c>
      <c r="B21" s="5" t="s">
        <v>111</v>
      </c>
      <c r="C21" s="5" t="s">
        <v>51</v>
      </c>
      <c r="D21" s="6" t="n">
        <v>32925</v>
      </c>
      <c r="E21" s="5" t="n">
        <f aca="false">YEAR(D21)</f>
        <v>1990</v>
      </c>
      <c r="F21" s="5" t="s">
        <v>52</v>
      </c>
      <c r="G21" s="5" t="n">
        <f aca="false">COUNTIFS(Albums!$B$2:$B$406,B21)</f>
        <v>15</v>
      </c>
      <c r="H21" s="5" t="n">
        <f aca="false">COUNTIFS(Albums!$B$2:$B$406,B21,Albums!$H$2:$H$406,"yes")</f>
        <v>13</v>
      </c>
      <c r="I21" s="5" t="n">
        <f aca="false">COUNTIFS(Albums!$B$2:$B$406,B21,Albums!$I$2:$I$406,"yes")</f>
        <v>14</v>
      </c>
      <c r="J21" s="5" t="n">
        <f aca="false">COUNTIFS(Albums!$B$2:$B$406,B21,Albums!$J$2:$J$406,"&gt;0")</f>
        <v>14</v>
      </c>
      <c r="K21" s="5" t="n">
        <f aca="false">COUNTIFS(Albums!$B$2:$B$406,B21,Albums!$H$2:$H$406,"yes",Albums!$J$2:$J$406,"&gt;0")</f>
        <v>12</v>
      </c>
      <c r="L21" s="5" t="n">
        <f aca="false">IF(G21=0,"",_xlfn.MINIFS(Albums!$E$2:$E$406,Albums!$B$2:$B$406,B21))</f>
        <v>1987</v>
      </c>
      <c r="M21" s="5" t="n">
        <f aca="false">IF(G21=0,"",_xlfn.MAXIFS(Albums!$E$2:$E$406,Albums!$B$2:$B$406,B21))</f>
        <v>2020</v>
      </c>
      <c r="N21" s="5" t="n">
        <f aca="false">IF(J21=0,"",_xlfn.MINIFS(Albums!$J$2:$J$406,Albums!$B$2:$B$406,B21,Albums!$J$2:$J$406,"&gt;0"))</f>
        <v>7</v>
      </c>
      <c r="O21" s="5" t="n">
        <f aca="false">IF(K21=0,"",_xlfn.MINIFS(Albums!$J$2:$J$406,Albums!$B$2:$B$406,B21,Albums!$H$2:$H$406,"yes",Albums!$J$2:$J$406,"&gt;0"))</f>
        <v>7</v>
      </c>
      <c r="P21" s="5" t="n">
        <f aca="false">COUNTIFS(Albums!$B$2:$B$406,B21,Albums!$H$2:$H$406,"yes",Albums!$J$2:$J$406,"&gt;0",Albums!$J$2:$J$406,"&lt;=40")</f>
        <v>8</v>
      </c>
      <c r="Q21" s="5" t="n">
        <f aca="false">COUNTIFS(Albums!$B$2:$B$406,B21,Albums!$M$2:$M$406,"&gt;0")</f>
        <v>6</v>
      </c>
      <c r="R21" s="5" t="n">
        <f aca="false">COUNTIFS(Albums!$B$2:$B$406,B21,Albums!$H$2:$H$406,"yes",Albums!$M$2:$M$406,"&gt;0")</f>
        <v>4</v>
      </c>
      <c r="S21" s="7" t="n">
        <f aca="false">SUMIFS(Albums!$M$2:$M$406,Albums!$B$2:$B$406,B21)</f>
        <v>5.5</v>
      </c>
      <c r="T21" s="7" t="n">
        <f aca="false">SUMIFS(Albums!$M$2:$M$406,Albums!$B$2:$B$406,B21,Albums!$H$2:$H$406,"yes")</f>
        <v>3</v>
      </c>
      <c r="U21" s="5" t="n">
        <f aca="false">COUNTIFS('Grammy nominations'!$A$2:$A$189,B21,'Grammy nominations'!$F$2:$F$189,"later")</f>
        <v>5</v>
      </c>
      <c r="V21" s="5" t="n">
        <f aca="false">COUNTIFS('Grammy nominations'!$A$2:$A$189,B21,'Grammy nominations'!$F$2:$F$189,"later",'Grammy nominations'!$E$2:$E$189,"won")</f>
        <v>0</v>
      </c>
      <c r="W21" s="5" t="n">
        <f aca="false">COUNTIFS('Grammy nominations'!$A$2:$A$189,B21,'Grammy nominations'!$F$2:$F$189,"same ceremony")</f>
        <v>1</v>
      </c>
      <c r="X21" s="5" t="n">
        <f aca="false">IF(G21=0,"",M21-L21+1-SUMIFS(Breaks!$H$2:$H$31,Breaks!$A$2:$A$31,B21))</f>
        <v>34</v>
      </c>
      <c r="Y21" s="5" t="n">
        <f aca="false">IF(G21=0,"",IF(M21&lt;E21,0,M21-MAX(L21,E21)+1-SUMIFS(Breaks!$H$2:$H$31,Breaks!$A$2:$A$31,B21,Breaks!$C$2:$C$31,"&gt;="&amp;E21)))</f>
        <v>31</v>
      </c>
      <c r="Z21" s="5" t="s">
        <v>112</v>
      </c>
    </row>
    <row r="22" customFormat="false" ht="15" hidden="false" customHeight="false" outlineLevel="0" collapsed="false">
      <c r="A22" s="5" t="s">
        <v>113</v>
      </c>
      <c r="B22" s="5" t="s">
        <v>114</v>
      </c>
      <c r="C22" s="5" t="s">
        <v>59</v>
      </c>
      <c r="D22" s="6" t="n">
        <v>29642</v>
      </c>
      <c r="E22" s="5" t="n">
        <f aca="false">YEAR(D22)</f>
        <v>1981</v>
      </c>
      <c r="F22" s="5" t="s">
        <v>52</v>
      </c>
      <c r="G22" s="5" t="n">
        <f aca="false">COUNTIFS(Albums!$B$2:$B$406,B22)</f>
        <v>5</v>
      </c>
      <c r="H22" s="5" t="n">
        <f aca="false">COUNTIFS(Albums!$B$2:$B$406,B22,Albums!$H$2:$H$406,"yes")</f>
        <v>4</v>
      </c>
      <c r="I22" s="5" t="n">
        <f aca="false">COUNTIFS(Albums!$B$2:$B$406,B22,Albums!$I$2:$I$406,"yes")</f>
        <v>2</v>
      </c>
      <c r="J22" s="5" t="n">
        <f aca="false">COUNTIFS(Albums!$B$2:$B$406,B22,Albums!$J$2:$J$406,"&gt;0")</f>
        <v>2</v>
      </c>
      <c r="K22" s="5" t="n">
        <f aca="false">COUNTIFS(Albums!$B$2:$B$406,B22,Albums!$H$2:$H$406,"yes",Albums!$J$2:$J$406,"&gt;0")</f>
        <v>2</v>
      </c>
      <c r="L22" s="5" t="n">
        <f aca="false">IF(G22=0,"",_xlfn.MINIFS(Albums!$E$2:$E$406,Albums!$B$2:$B$406,B22))</f>
        <v>1967</v>
      </c>
      <c r="M22" s="5" t="n">
        <f aca="false">IF(G22=0,"",_xlfn.MAXIFS(Albums!$E$2:$E$406,Albums!$B$2:$B$406,B22))</f>
        <v>2011</v>
      </c>
      <c r="N22" s="5" t="n">
        <f aca="false">IF(J22=0,"",_xlfn.MINIFS(Albums!$J$2:$J$406,Albums!$B$2:$B$406,B22,Albums!$J$2:$J$406,"&gt;0"))</f>
        <v>76</v>
      </c>
      <c r="O22" s="5" t="n">
        <f aca="false">IF(K22=0,"",_xlfn.MINIFS(Albums!$J$2:$J$406,Albums!$B$2:$B$406,B22,Albums!$H$2:$H$406,"yes",Albums!$J$2:$J$406,"&gt;0"))</f>
        <v>76</v>
      </c>
      <c r="P22" s="5" t="n">
        <f aca="false">COUNTIFS(Albums!$B$2:$B$406,B22,Albums!$H$2:$H$406,"yes",Albums!$J$2:$J$406,"&gt;0",Albums!$J$2:$J$406,"&lt;=40")</f>
        <v>0</v>
      </c>
      <c r="Q22" s="5" t="n">
        <f aca="false">COUNTIFS(Albums!$B$2:$B$406,B22,Albums!$M$2:$M$406,"&gt;0")</f>
        <v>0</v>
      </c>
      <c r="R22" s="5" t="n">
        <f aca="false">COUNTIFS(Albums!$B$2:$B$406,B22,Albums!$H$2:$H$406,"yes",Albums!$M$2:$M$406,"&gt;0")</f>
        <v>0</v>
      </c>
      <c r="S22" s="7" t="n">
        <f aca="false">SUMIFS(Albums!$M$2:$M$406,Albums!$B$2:$B$406,B22)</f>
        <v>0</v>
      </c>
      <c r="T22" s="7" t="n">
        <f aca="false">SUMIFS(Albums!$M$2:$M$406,Albums!$B$2:$B$406,B22,Albums!$H$2:$H$406,"yes")</f>
        <v>0</v>
      </c>
      <c r="U22" s="5" t="n">
        <f aca="false">COUNTIFS('Grammy nominations'!$A$2:$A$189,B22,'Grammy nominations'!$F$2:$F$189,"later")</f>
        <v>4</v>
      </c>
      <c r="V22" s="5" t="n">
        <f aca="false">COUNTIFS('Grammy nominations'!$A$2:$A$189,B22,'Grammy nominations'!$F$2:$F$189,"later",'Grammy nominations'!$E$2:$E$189,"won")</f>
        <v>2</v>
      </c>
      <c r="W22" s="5" t="n">
        <f aca="false">COUNTIFS('Grammy nominations'!$A$2:$A$189,B22,'Grammy nominations'!$F$2:$F$189,"same ceremony")</f>
        <v>1</v>
      </c>
      <c r="X22" s="5" t="n">
        <f aca="false">IF(G22=0,"",M22-L22+1-SUMIFS(Breaks!$H$2:$H$31,Breaks!$A$2:$A$31,B22))</f>
        <v>45</v>
      </c>
      <c r="Y22" s="5" t="n">
        <f aca="false">IF(G22=0,"",IF(M22&lt;E22,0,M22-MAX(L22,E22)+1-SUMIFS(Breaks!$H$2:$H$31,Breaks!$A$2:$A$31,B22,Breaks!$C$2:$C$31,"&gt;="&amp;E22)))</f>
        <v>31</v>
      </c>
      <c r="Z22" s="5" t="s">
        <v>115</v>
      </c>
    </row>
    <row r="23" customFormat="false" ht="15" hidden="false" customHeight="false" outlineLevel="0" collapsed="false">
      <c r="A23" s="5" t="s">
        <v>116</v>
      </c>
      <c r="B23" s="5" t="s">
        <v>117</v>
      </c>
      <c r="C23" s="5" t="s">
        <v>59</v>
      </c>
      <c r="D23" s="6" t="n">
        <v>30006</v>
      </c>
      <c r="E23" s="5" t="n">
        <f aca="false">YEAR(D23)</f>
        <v>1982</v>
      </c>
      <c r="F23" s="5" t="s">
        <v>52</v>
      </c>
      <c r="G23" s="5" t="n">
        <f aca="false">COUNTIFS(Albums!$B$2:$B$406,B23)</f>
        <v>5</v>
      </c>
      <c r="H23" s="5" t="n">
        <f aca="false">COUNTIFS(Albums!$B$2:$B$406,B23,Albums!$H$2:$H$406,"yes")</f>
        <v>5</v>
      </c>
      <c r="I23" s="5" t="n">
        <f aca="false">COUNTIFS(Albums!$B$2:$B$406,B23,Albums!$I$2:$I$406,"yes")</f>
        <v>5</v>
      </c>
      <c r="J23" s="5" t="n">
        <f aca="false">COUNTIFS(Albums!$B$2:$B$406,B23,Albums!$J$2:$J$406,"&gt;0")</f>
        <v>3</v>
      </c>
      <c r="K23" s="5" t="n">
        <f aca="false">COUNTIFS(Albums!$B$2:$B$406,B23,Albums!$H$2:$H$406,"yes",Albums!$J$2:$J$406,"&gt;0")</f>
        <v>3</v>
      </c>
      <c r="L23" s="5" t="n">
        <f aca="false">IF(G23=0,"",_xlfn.MINIFS(Albums!$E$2:$E$406,Albums!$B$2:$B$406,B23))</f>
        <v>1983</v>
      </c>
      <c r="M23" s="5" t="n">
        <f aca="false">IF(G23=0,"",_xlfn.MAXIFS(Albums!$E$2:$E$406,Albums!$B$2:$B$406,B23))</f>
        <v>2008</v>
      </c>
      <c r="N23" s="5" t="n">
        <f aca="false">IF(J23=0,"",_xlfn.MINIFS(Albums!$J$2:$J$406,Albums!$B$2:$B$406,B23,Albums!$J$2:$J$406,"&gt;0"))</f>
        <v>46</v>
      </c>
      <c r="O23" s="5" t="n">
        <f aca="false">IF(K23=0,"",_xlfn.MINIFS(Albums!$J$2:$J$406,Albums!$B$2:$B$406,B23,Albums!$H$2:$H$406,"yes",Albums!$J$2:$J$406,"&gt;0"))</f>
        <v>46</v>
      </c>
      <c r="P23" s="5" t="n">
        <f aca="false">COUNTIFS(Albums!$B$2:$B$406,B23,Albums!$H$2:$H$406,"yes",Albums!$J$2:$J$406,"&gt;0",Albums!$J$2:$J$406,"&lt;=40")</f>
        <v>0</v>
      </c>
      <c r="Q23" s="5" t="n">
        <f aca="false">COUNTIFS(Albums!$B$2:$B$406,B23,Albums!$M$2:$M$406,"&gt;0")</f>
        <v>1</v>
      </c>
      <c r="R23" s="5" t="n">
        <f aca="false">COUNTIFS(Albums!$B$2:$B$406,B23,Albums!$H$2:$H$406,"yes",Albums!$M$2:$M$406,"&gt;0")</f>
        <v>1</v>
      </c>
      <c r="S23" s="7" t="n">
        <f aca="false">SUMIFS(Albums!$M$2:$M$406,Albums!$B$2:$B$406,B23)</f>
        <v>0.5</v>
      </c>
      <c r="T23" s="7" t="n">
        <f aca="false">SUMIFS(Albums!$M$2:$M$406,Albums!$B$2:$B$406,B23,Albums!$H$2:$H$406,"yes")</f>
        <v>0.5</v>
      </c>
      <c r="U23" s="5" t="n">
        <f aca="false">COUNTIFS('Grammy nominations'!$A$2:$A$189,B23,'Grammy nominations'!$F$2:$F$189,"later")</f>
        <v>11</v>
      </c>
      <c r="V23" s="5" t="n">
        <f aca="false">COUNTIFS('Grammy nominations'!$A$2:$A$189,B23,'Grammy nominations'!$F$2:$F$189,"later",'Grammy nominations'!$E$2:$E$189,"won")</f>
        <v>1</v>
      </c>
      <c r="W23" s="5" t="n">
        <f aca="false">COUNTIFS('Grammy nominations'!$A$2:$A$189,B23,'Grammy nominations'!$F$2:$F$189,"same ceremony")</f>
        <v>2</v>
      </c>
      <c r="X23" s="5" t="n">
        <f aca="false">IF(G23=0,"",M23-L23+1-SUMIFS(Breaks!$H$2:$H$31,Breaks!$A$2:$A$31,B23))</f>
        <v>26</v>
      </c>
      <c r="Y23" s="5" t="n">
        <f aca="false">IF(G23=0,"",IF(M23&lt;E23,0,M23-MAX(L23,E23)+1-SUMIFS(Breaks!$H$2:$H$31,Breaks!$A$2:$A$31,B23,Breaks!$C$2:$C$31,"&gt;="&amp;E23)))</f>
        <v>26</v>
      </c>
      <c r="Z23" s="5" t="s">
        <v>118</v>
      </c>
    </row>
    <row r="24" customFormat="false" ht="15" hidden="false" customHeight="false" outlineLevel="0" collapsed="false">
      <c r="A24" s="5" t="s">
        <v>119</v>
      </c>
      <c r="B24" s="5" t="s">
        <v>120</v>
      </c>
      <c r="C24" s="5" t="s">
        <v>59</v>
      </c>
      <c r="D24" s="6" t="n">
        <v>30370</v>
      </c>
      <c r="E24" s="5" t="n">
        <f aca="false">YEAR(D24)</f>
        <v>1983</v>
      </c>
      <c r="F24" s="5" t="s">
        <v>52</v>
      </c>
      <c r="G24" s="5" t="n">
        <f aca="false">COUNTIFS(Albums!$B$2:$B$406,B24)</f>
        <v>6</v>
      </c>
      <c r="H24" s="5" t="n">
        <f aca="false">COUNTIFS(Albums!$B$2:$B$406,B24,Albums!$H$2:$H$406,"yes")</f>
        <v>6</v>
      </c>
      <c r="I24" s="5" t="n">
        <f aca="false">COUNTIFS(Albums!$B$2:$B$406,B24,Albums!$I$2:$I$406,"yes")</f>
        <v>5</v>
      </c>
      <c r="J24" s="5" t="n">
        <f aca="false">COUNTIFS(Albums!$B$2:$B$406,B24,Albums!$J$2:$J$406,"&gt;0")</f>
        <v>3</v>
      </c>
      <c r="K24" s="5" t="n">
        <f aca="false">COUNTIFS(Albums!$B$2:$B$406,B24,Albums!$H$2:$H$406,"yes",Albums!$J$2:$J$406,"&gt;0")</f>
        <v>3</v>
      </c>
      <c r="L24" s="5" t="n">
        <f aca="false">IF(G24=0,"",_xlfn.MINIFS(Albums!$E$2:$E$406,Albums!$B$2:$B$406,B24))</f>
        <v>1983</v>
      </c>
      <c r="M24" s="5" t="n">
        <f aca="false">IF(G24=0,"",_xlfn.MAXIFS(Albums!$E$2:$E$406,Albums!$B$2:$B$406,B24))</f>
        <v>2014</v>
      </c>
      <c r="N24" s="5" t="n">
        <f aca="false">IF(J24=0,"",_xlfn.MINIFS(Albums!$J$2:$J$406,Albums!$B$2:$B$406,B24,Albums!$J$2:$J$406,"&gt;0"))</f>
        <v>31</v>
      </c>
      <c r="O24" s="5" t="n">
        <f aca="false">IF(K24=0,"",_xlfn.MINIFS(Albums!$J$2:$J$406,Albums!$B$2:$B$406,B24,Albums!$H$2:$H$406,"yes",Albums!$J$2:$J$406,"&gt;0"))</f>
        <v>31</v>
      </c>
      <c r="P24" s="5" t="n">
        <f aca="false">COUNTIFS(Albums!$B$2:$B$406,B24,Albums!$H$2:$H$406,"yes",Albums!$J$2:$J$406,"&gt;0",Albums!$J$2:$J$406,"&lt;=40")</f>
        <v>1</v>
      </c>
      <c r="Q24" s="5" t="n">
        <f aca="false">COUNTIFS(Albums!$B$2:$B$406,B24,Albums!$M$2:$M$406,"&gt;0")</f>
        <v>0</v>
      </c>
      <c r="R24" s="5" t="n">
        <f aca="false">COUNTIFS(Albums!$B$2:$B$406,B24,Albums!$H$2:$H$406,"yes",Albums!$M$2:$M$406,"&gt;0")</f>
        <v>0</v>
      </c>
      <c r="S24" s="7" t="n">
        <f aca="false">SUMIFS(Albums!$M$2:$M$406,Albums!$B$2:$B$406,B24)</f>
        <v>0</v>
      </c>
      <c r="T24" s="7" t="n">
        <f aca="false">SUMIFS(Albums!$M$2:$M$406,Albums!$B$2:$B$406,B24,Albums!$H$2:$H$406,"yes")</f>
        <v>0</v>
      </c>
      <c r="U24" s="5" t="n">
        <f aca="false">COUNTIFS('Grammy nominations'!$A$2:$A$189,B24,'Grammy nominations'!$F$2:$F$189,"later")</f>
        <v>2</v>
      </c>
      <c r="V24" s="5" t="n">
        <f aca="false">COUNTIFS('Grammy nominations'!$A$2:$A$189,B24,'Grammy nominations'!$F$2:$F$189,"later",'Grammy nominations'!$E$2:$E$189,"won")</f>
        <v>1</v>
      </c>
      <c r="W24" s="5" t="n">
        <f aca="false">COUNTIFS('Grammy nominations'!$A$2:$A$189,B24,'Grammy nominations'!$F$2:$F$189,"same ceremony")</f>
        <v>1</v>
      </c>
      <c r="X24" s="5" t="n">
        <f aca="false">IF(G24=0,"",M24-L24+1-SUMIFS(Breaks!$H$2:$H$31,Breaks!$A$2:$A$31,B24))</f>
        <v>32</v>
      </c>
      <c r="Y24" s="5" t="n">
        <f aca="false">IF(G24=0,"",IF(M24&lt;E24,0,M24-MAX(L24,E24)+1-SUMIFS(Breaks!$H$2:$H$31,Breaks!$A$2:$A$31,B24,Breaks!$C$2:$C$31,"&gt;="&amp;E24)))</f>
        <v>32</v>
      </c>
      <c r="Z24" s="5" t="s">
        <v>121</v>
      </c>
    </row>
    <row r="25" customFormat="false" ht="15" hidden="false" customHeight="false" outlineLevel="0" collapsed="false">
      <c r="A25" s="5" t="s">
        <v>122</v>
      </c>
      <c r="B25" s="5" t="s">
        <v>123</v>
      </c>
      <c r="C25" s="5" t="s">
        <v>59</v>
      </c>
      <c r="D25" s="6" t="n">
        <v>32204</v>
      </c>
      <c r="E25" s="5" t="n">
        <f aca="false">YEAR(D25)</f>
        <v>1988</v>
      </c>
      <c r="F25" s="5" t="s">
        <v>72</v>
      </c>
      <c r="G25" s="5" t="n">
        <f aca="false">COUNTIFS(Albums!$B$2:$B$406,B25)</f>
        <v>9</v>
      </c>
      <c r="H25" s="5" t="n">
        <f aca="false">COUNTIFS(Albums!$B$2:$B$406,B25,Albums!$H$2:$H$406,"yes")</f>
        <v>8</v>
      </c>
      <c r="I25" s="5" t="n">
        <f aca="false">COUNTIFS(Albums!$B$2:$B$406,B25,Albums!$I$2:$I$406,"yes")</f>
        <v>4</v>
      </c>
      <c r="J25" s="5" t="n">
        <f aca="false">COUNTIFS(Albums!$B$2:$B$406,B25,Albums!$J$2:$J$406,"&gt;0")</f>
        <v>4</v>
      </c>
      <c r="K25" s="5" t="n">
        <f aca="false">COUNTIFS(Albums!$B$2:$B$406,B25,Albums!$H$2:$H$406,"yes",Albums!$J$2:$J$406,"&gt;0")</f>
        <v>3</v>
      </c>
      <c r="L25" s="5" t="n">
        <f aca="false">IF(G25=0,"",_xlfn.MINIFS(Albums!$E$2:$E$406,Albums!$B$2:$B$406,B25))</f>
        <v>1987</v>
      </c>
      <c r="M25" s="5" t="n">
        <f aca="false">IF(G25=0,"",_xlfn.MAXIFS(Albums!$E$2:$E$406,Albums!$B$2:$B$406,B25))</f>
        <v>2006</v>
      </c>
      <c r="N25" s="5" t="n">
        <f aca="false">IF(J25=0,"",_xlfn.MINIFS(Albums!$J$2:$J$406,Albums!$B$2:$B$406,B25,Albums!$J$2:$J$406,"&gt;0"))</f>
        <v>10</v>
      </c>
      <c r="O25" s="5" t="n">
        <f aca="false">IF(K25=0,"",_xlfn.MINIFS(Albums!$J$2:$J$406,Albums!$B$2:$B$406,B25,Albums!$H$2:$H$406,"yes",Albums!$J$2:$J$406,"&gt;0"))</f>
        <v>16</v>
      </c>
      <c r="P25" s="5" t="n">
        <f aca="false">COUNTIFS(Albums!$B$2:$B$406,B25,Albums!$H$2:$H$406,"yes",Albums!$J$2:$J$406,"&gt;0",Albums!$J$2:$J$406,"&lt;=40")</f>
        <v>1</v>
      </c>
      <c r="Q25" s="5" t="n">
        <f aca="false">COUNTIFS(Albums!$B$2:$B$406,B25,Albums!$M$2:$M$406,"&gt;0")</f>
        <v>2</v>
      </c>
      <c r="R25" s="5" t="n">
        <f aca="false">COUNTIFS(Albums!$B$2:$B$406,B25,Albums!$H$2:$H$406,"yes",Albums!$M$2:$M$406,"&gt;0")</f>
        <v>1</v>
      </c>
      <c r="S25" s="7" t="n">
        <f aca="false">SUMIFS(Albums!$M$2:$M$406,Albums!$B$2:$B$406,B25)</f>
        <v>1.5</v>
      </c>
      <c r="T25" s="7" t="n">
        <f aca="false">SUMIFS(Albums!$M$2:$M$406,Albums!$B$2:$B$406,B25,Albums!$H$2:$H$406,"yes")</f>
        <v>0.5</v>
      </c>
      <c r="U25" s="5" t="n">
        <f aca="false">COUNTIFS('Grammy nominations'!$A$2:$A$189,B25,'Grammy nominations'!$F$2:$F$189,"later")</f>
        <v>0</v>
      </c>
      <c r="V25" s="5" t="n">
        <f aca="false">COUNTIFS('Grammy nominations'!$A$2:$A$189,B25,'Grammy nominations'!$F$2:$F$189,"later",'Grammy nominations'!$E$2:$E$189,"won")</f>
        <v>0</v>
      </c>
      <c r="W25" s="5" t="n">
        <f aca="false">COUNTIFS('Grammy nominations'!$A$2:$A$189,B25,'Grammy nominations'!$F$2:$F$189,"same ceremony")</f>
        <v>1</v>
      </c>
      <c r="X25" s="5" t="n">
        <f aca="false">IF(G25=0,"",M25-L25+1-SUMIFS(Breaks!$H$2:$H$31,Breaks!$A$2:$A$31,B25))</f>
        <v>20</v>
      </c>
      <c r="Y25" s="5" t="n">
        <f aca="false">IF(G25=0,"",IF(M25&lt;E25,0,M25-MAX(L25,E25)+1-SUMIFS(Breaks!$H$2:$H$31,Breaks!$A$2:$A$31,B25,Breaks!$C$2:$C$31,"&gt;="&amp;E25)))</f>
        <v>19</v>
      </c>
      <c r="Z25" s="5" t="s">
        <v>124</v>
      </c>
    </row>
    <row r="26" customFormat="false" ht="15" hidden="false" customHeight="false" outlineLevel="0" collapsed="false">
      <c r="A26" s="5" t="s">
        <v>125</v>
      </c>
      <c r="B26" s="5" t="s">
        <v>126</v>
      </c>
      <c r="C26" s="5" t="s">
        <v>51</v>
      </c>
      <c r="D26" s="6" t="n">
        <v>31104</v>
      </c>
      <c r="E26" s="5" t="n">
        <f aca="false">YEAR(D26)</f>
        <v>1985</v>
      </c>
      <c r="F26" s="5" t="s">
        <v>52</v>
      </c>
      <c r="G26" s="5" t="n">
        <f aca="false">COUNTIFS(Albums!$B$2:$B$406,B26)</f>
        <v>6</v>
      </c>
      <c r="H26" s="5" t="n">
        <f aca="false">COUNTIFS(Albums!$B$2:$B$406,B26,Albums!$H$2:$H$406,"yes")</f>
        <v>5</v>
      </c>
      <c r="I26" s="5" t="n">
        <f aca="false">COUNTIFS(Albums!$B$2:$B$406,B26,Albums!$I$2:$I$406,"yes")</f>
        <v>6</v>
      </c>
      <c r="J26" s="5" t="n">
        <f aca="false">COUNTIFS(Albums!$B$2:$B$406,B26,Albums!$J$2:$J$406,"&gt;0")</f>
        <v>5</v>
      </c>
      <c r="K26" s="5" t="n">
        <f aca="false">COUNTIFS(Albums!$B$2:$B$406,B26,Albums!$H$2:$H$406,"yes",Albums!$J$2:$J$406,"&gt;0")</f>
        <v>4</v>
      </c>
      <c r="L26" s="5" t="n">
        <f aca="false">IF(G26=0,"",_xlfn.MINIFS(Albums!$E$2:$E$406,Albums!$B$2:$B$406,B26))</f>
        <v>1984</v>
      </c>
      <c r="M26" s="5" t="n">
        <f aca="false">IF(G26=0,"",_xlfn.MAXIFS(Albums!$E$2:$E$406,Albums!$B$2:$B$406,B26))</f>
        <v>1990</v>
      </c>
      <c r="N26" s="5" t="n">
        <f aca="false">IF(J26=0,"",_xlfn.MINIFS(Albums!$J$2:$J$406,Albums!$B$2:$B$406,B26,Albums!$J$2:$J$406,"&gt;0"))</f>
        <v>51</v>
      </c>
      <c r="O26" s="5" t="n">
        <f aca="false">IF(K26=0,"",_xlfn.MINIFS(Albums!$J$2:$J$406,Albums!$B$2:$B$406,B26,Albums!$H$2:$H$406,"yes",Albums!$J$2:$J$406,"&gt;0"))</f>
        <v>51</v>
      </c>
      <c r="P26" s="5" t="n">
        <f aca="false">COUNTIFS(Albums!$B$2:$B$406,B26,Albums!$H$2:$H$406,"yes",Albums!$J$2:$J$406,"&gt;0",Albums!$J$2:$J$406,"&lt;=40")</f>
        <v>0</v>
      </c>
      <c r="Q26" s="5" t="n">
        <f aca="false">COUNTIFS(Albums!$B$2:$B$406,B26,Albums!$M$2:$M$406,"&gt;0")</f>
        <v>6</v>
      </c>
      <c r="R26" s="5" t="n">
        <f aca="false">COUNTIFS(Albums!$B$2:$B$406,B26,Albums!$H$2:$H$406,"yes",Albums!$M$2:$M$406,"&gt;0")</f>
        <v>5</v>
      </c>
      <c r="S26" s="7" t="n">
        <f aca="false">SUMIFS(Albums!$M$2:$M$406,Albums!$B$2:$B$406,B26)</f>
        <v>6.5</v>
      </c>
      <c r="T26" s="7" t="n">
        <f aca="false">SUMIFS(Albums!$M$2:$M$406,Albums!$B$2:$B$406,B26,Albums!$H$2:$H$406,"yes")</f>
        <v>4.5</v>
      </c>
      <c r="U26" s="5" t="n">
        <f aca="false">COUNTIFS('Grammy nominations'!$A$2:$A$189,B26,'Grammy nominations'!$F$2:$F$189,"later")</f>
        <v>7</v>
      </c>
      <c r="V26" s="5" t="n">
        <f aca="false">COUNTIFS('Grammy nominations'!$A$2:$A$189,B26,'Grammy nominations'!$F$2:$F$189,"later",'Grammy nominations'!$E$2:$E$189,"won")</f>
        <v>4</v>
      </c>
      <c r="W26" s="5" t="n">
        <f aca="false">COUNTIFS('Grammy nominations'!$A$2:$A$189,B26,'Grammy nominations'!$F$2:$F$189,"same ceremony")</f>
        <v>1</v>
      </c>
      <c r="X26" s="5" t="n">
        <f aca="false">IF(G26=0,"",M26-L26+1-SUMIFS(Breaks!$H$2:$H$31,Breaks!$A$2:$A$31,B26))</f>
        <v>7</v>
      </c>
      <c r="Y26" s="5" t="n">
        <f aca="false">IF(G26=0,"",IF(M26&lt;E26,0,M26-MAX(L26,E26)+1-SUMIFS(Breaks!$H$2:$H$31,Breaks!$A$2:$A$31,B26,Breaks!$C$2:$C$31,"&gt;="&amp;E26)))</f>
        <v>6</v>
      </c>
      <c r="Z26" s="5" t="s">
        <v>127</v>
      </c>
    </row>
    <row r="27" customFormat="false" ht="15" hidden="false" customHeight="false" outlineLevel="0" collapsed="false">
      <c r="A27" s="5" t="s">
        <v>128</v>
      </c>
      <c r="B27" s="5" t="s">
        <v>129</v>
      </c>
      <c r="C27" s="5" t="s">
        <v>59</v>
      </c>
      <c r="D27" s="6" t="n">
        <v>31468</v>
      </c>
      <c r="E27" s="5" t="n">
        <f aca="false">YEAR(D27)</f>
        <v>1986</v>
      </c>
      <c r="F27" s="5" t="s">
        <v>52</v>
      </c>
      <c r="G27" s="5" t="n">
        <f aca="false">COUNTIFS(Albums!$B$2:$B$406,B27)</f>
        <v>7</v>
      </c>
      <c r="H27" s="5" t="n">
        <f aca="false">COUNTIFS(Albums!$B$2:$B$406,B27,Albums!$H$2:$H$406,"yes")</f>
        <v>6</v>
      </c>
      <c r="I27" s="5" t="n">
        <f aca="false">COUNTIFS(Albums!$B$2:$B$406,B27,Albums!$I$2:$I$406,"yes")</f>
        <v>6</v>
      </c>
      <c r="J27" s="5" t="n">
        <f aca="false">COUNTIFS(Albums!$B$2:$B$406,B27,Albums!$J$2:$J$406,"&gt;0")</f>
        <v>3</v>
      </c>
      <c r="K27" s="5" t="n">
        <f aca="false">COUNTIFS(Albums!$B$2:$B$406,B27,Albums!$H$2:$H$406,"yes",Albums!$J$2:$J$406,"&gt;0")</f>
        <v>2</v>
      </c>
      <c r="L27" s="5" t="n">
        <f aca="false">IF(G27=0,"",_xlfn.MINIFS(Albums!$E$2:$E$406,Albums!$B$2:$B$406,B27))</f>
        <v>1984</v>
      </c>
      <c r="M27" s="5" t="n">
        <f aca="false">IF(G27=0,"",_xlfn.MAXIFS(Albums!$E$2:$E$406,Albums!$B$2:$B$406,B27))</f>
        <v>2022</v>
      </c>
      <c r="N27" s="5" t="n">
        <f aca="false">IF(J27=0,"",_xlfn.MINIFS(Albums!$J$2:$J$406,Albums!$B$2:$B$406,B27,Albums!$J$2:$J$406,"&gt;0"))</f>
        <v>17</v>
      </c>
      <c r="O27" s="5" t="n">
        <f aca="false">IF(K27=0,"",_xlfn.MINIFS(Albums!$J$2:$J$406,Albums!$B$2:$B$406,B27,Albums!$H$2:$H$406,"yes",Albums!$J$2:$J$406,"&gt;0"))</f>
        <v>32</v>
      </c>
      <c r="P27" s="5" t="n">
        <f aca="false">COUNTIFS(Albums!$B$2:$B$406,B27,Albums!$H$2:$H$406,"yes",Albums!$J$2:$J$406,"&gt;0",Albums!$J$2:$J$406,"&lt;=40")</f>
        <v>1</v>
      </c>
      <c r="Q27" s="5" t="n">
        <f aca="false">COUNTIFS(Albums!$B$2:$B$406,B27,Albums!$M$2:$M$406,"&gt;0")</f>
        <v>2</v>
      </c>
      <c r="R27" s="5" t="n">
        <f aca="false">COUNTIFS(Albums!$B$2:$B$406,B27,Albums!$H$2:$H$406,"yes",Albums!$M$2:$M$406,"&gt;0")</f>
        <v>1</v>
      </c>
      <c r="S27" s="7" t="n">
        <f aca="false">SUMIFS(Albums!$M$2:$M$406,Albums!$B$2:$B$406,B27)</f>
        <v>1.5</v>
      </c>
      <c r="T27" s="7" t="n">
        <f aca="false">SUMIFS(Albums!$M$2:$M$406,Albums!$B$2:$B$406,B27,Albums!$H$2:$H$406,"yes")</f>
        <v>0.5</v>
      </c>
      <c r="U27" s="5" t="n">
        <f aca="false">COUNTIFS('Grammy nominations'!$A$2:$A$189,B27,'Grammy nominations'!$F$2:$F$189,"later")</f>
        <v>0</v>
      </c>
      <c r="V27" s="5" t="n">
        <f aca="false">COUNTIFS('Grammy nominations'!$A$2:$A$189,B27,'Grammy nominations'!$F$2:$F$189,"later",'Grammy nominations'!$E$2:$E$189,"won")</f>
        <v>0</v>
      </c>
      <c r="W27" s="5" t="n">
        <f aca="false">COUNTIFS('Grammy nominations'!$A$2:$A$189,B27,'Grammy nominations'!$F$2:$F$189,"same ceremony")</f>
        <v>0</v>
      </c>
      <c r="X27" s="5" t="n">
        <f aca="false">IF(G27=0,"",M27-L27+1-SUMIFS(Breaks!$H$2:$H$31,Breaks!$A$2:$A$31,B27))</f>
        <v>39</v>
      </c>
      <c r="Y27" s="5" t="n">
        <f aca="false">IF(G27=0,"",IF(M27&lt;E27,0,M27-MAX(L27,E27)+1-SUMIFS(Breaks!$H$2:$H$31,Breaks!$A$2:$A$31,B27,Breaks!$C$2:$C$31,"&gt;="&amp;E27)))</f>
        <v>37</v>
      </c>
      <c r="Z27" s="5" t="s">
        <v>130</v>
      </c>
    </row>
    <row r="28" customFormat="false" ht="15" hidden="false" customHeight="false" outlineLevel="0" collapsed="false">
      <c r="A28" s="5" t="s">
        <v>131</v>
      </c>
      <c r="B28" s="5" t="s">
        <v>132</v>
      </c>
      <c r="C28" s="5" t="s">
        <v>51</v>
      </c>
      <c r="D28" s="6" t="n">
        <v>31468</v>
      </c>
      <c r="E28" s="5" t="n">
        <f aca="false">YEAR(D28)</f>
        <v>1986</v>
      </c>
      <c r="F28" s="5" t="s">
        <v>52</v>
      </c>
      <c r="G28" s="5" t="n">
        <f aca="false">COUNTIFS(Albums!$B$2:$B$406,B28)</f>
        <v>9</v>
      </c>
      <c r="H28" s="5" t="n">
        <f aca="false">COUNTIFS(Albums!$B$2:$B$406,B28,Albums!$H$2:$H$406,"yes")</f>
        <v>6</v>
      </c>
      <c r="I28" s="5" t="n">
        <f aca="false">COUNTIFS(Albums!$B$2:$B$406,B28,Albums!$I$2:$I$406,"yes")</f>
        <v>3</v>
      </c>
      <c r="J28" s="5" t="n">
        <f aca="false">COUNTIFS(Albums!$B$2:$B$406,B28,Albums!$J$2:$J$406,"&gt;0")</f>
        <v>3</v>
      </c>
      <c r="K28" s="5" t="n">
        <f aca="false">COUNTIFS(Albums!$B$2:$B$406,B28,Albums!$H$2:$H$406,"yes",Albums!$J$2:$J$406,"&gt;0")</f>
        <v>2</v>
      </c>
      <c r="L28" s="5" t="n">
        <f aca="false">IF(G28=0,"",_xlfn.MINIFS(Albums!$E$2:$E$406,Albums!$B$2:$B$406,B28))</f>
        <v>1983</v>
      </c>
      <c r="M28" s="5" t="n">
        <f aca="false">IF(G28=0,"",_xlfn.MAXIFS(Albums!$E$2:$E$406,Albums!$B$2:$B$406,B28))</f>
        <v>1997</v>
      </c>
      <c r="N28" s="5" t="n">
        <f aca="false">IF(J28=0,"",_xlfn.MINIFS(Albums!$J$2:$J$406,Albums!$B$2:$B$406,B28,Albums!$J$2:$J$406,"&gt;0"))</f>
        <v>25</v>
      </c>
      <c r="O28" s="5" t="n">
        <f aca="false">IF(K28=0,"",_xlfn.MINIFS(Albums!$J$2:$J$406,Albums!$B$2:$B$406,B28,Albums!$H$2:$H$406,"yes",Albums!$J$2:$J$406,"&gt;0"))</f>
        <v>49</v>
      </c>
      <c r="P28" s="5" t="n">
        <f aca="false">COUNTIFS(Albums!$B$2:$B$406,B28,Albums!$H$2:$H$406,"yes",Albums!$J$2:$J$406,"&gt;0",Albums!$J$2:$J$406,"&lt;=40")</f>
        <v>0</v>
      </c>
      <c r="Q28" s="5" t="n">
        <f aca="false">COUNTIFS(Albums!$B$2:$B$406,B28,Albums!$M$2:$M$406,"&gt;0")</f>
        <v>0</v>
      </c>
      <c r="R28" s="5" t="n">
        <f aca="false">COUNTIFS(Albums!$B$2:$B$406,B28,Albums!$H$2:$H$406,"yes",Albums!$M$2:$M$406,"&gt;0")</f>
        <v>0</v>
      </c>
      <c r="S28" s="7" t="n">
        <f aca="false">SUMIFS(Albums!$M$2:$M$406,Albums!$B$2:$B$406,B28)</f>
        <v>0</v>
      </c>
      <c r="T28" s="7" t="n">
        <f aca="false">SUMIFS(Albums!$M$2:$M$406,Albums!$B$2:$B$406,B28,Albums!$H$2:$H$406,"yes")</f>
        <v>0</v>
      </c>
      <c r="U28" s="5" t="n">
        <f aca="false">COUNTIFS('Grammy nominations'!$A$2:$A$189,B28,'Grammy nominations'!$F$2:$F$189,"later")</f>
        <v>0</v>
      </c>
      <c r="V28" s="5" t="n">
        <f aca="false">COUNTIFS('Grammy nominations'!$A$2:$A$189,B28,'Grammy nominations'!$F$2:$F$189,"later",'Grammy nominations'!$E$2:$E$189,"won")</f>
        <v>0</v>
      </c>
      <c r="W28" s="5" t="n">
        <f aca="false">COUNTIFS('Grammy nominations'!$A$2:$A$189,B28,'Grammy nominations'!$F$2:$F$189,"same ceremony")</f>
        <v>0</v>
      </c>
      <c r="X28" s="5" t="n">
        <f aca="false">IF(G28=0,"",M28-L28+1-SUMIFS(Breaks!$H$2:$H$31,Breaks!$A$2:$A$31,B28))</f>
        <v>15</v>
      </c>
      <c r="Y28" s="5" t="n">
        <f aca="false">IF(G28=0,"",IF(M28&lt;E28,0,M28-MAX(L28,E28)+1-SUMIFS(Breaks!$H$2:$H$31,Breaks!$A$2:$A$31,B28,Breaks!$C$2:$C$31,"&gt;="&amp;E28)))</f>
        <v>12</v>
      </c>
      <c r="Z28" s="5" t="s">
        <v>133</v>
      </c>
    </row>
    <row r="29" customFormat="false" ht="15" hidden="false" customHeight="false" outlineLevel="0" collapsed="false">
      <c r="A29" s="5" t="s">
        <v>134</v>
      </c>
      <c r="B29" s="5" t="s">
        <v>135</v>
      </c>
      <c r="C29" s="5" t="s">
        <v>51</v>
      </c>
      <c r="D29" s="6" t="n">
        <v>29278</v>
      </c>
      <c r="E29" s="5" t="n">
        <f aca="false">YEAR(D29)</f>
        <v>1980</v>
      </c>
      <c r="F29" s="5" t="s">
        <v>52</v>
      </c>
      <c r="G29" s="5" t="n">
        <f aca="false">COUNTIFS(Albums!$B$2:$B$406,B29)</f>
        <v>6</v>
      </c>
      <c r="H29" s="5" t="n">
        <f aca="false">COUNTIFS(Albums!$B$2:$B$406,B29,Albums!$H$2:$H$406,"yes")</f>
        <v>4</v>
      </c>
      <c r="I29" s="5" t="n">
        <f aca="false">COUNTIFS(Albums!$B$2:$B$406,B29,Albums!$I$2:$I$406,"yes")</f>
        <v>3</v>
      </c>
      <c r="J29" s="5" t="n">
        <f aca="false">COUNTIFS(Albums!$B$2:$B$406,B29,Albums!$J$2:$J$406,"&gt;0")</f>
        <v>3</v>
      </c>
      <c r="K29" s="5" t="n">
        <f aca="false">COUNTIFS(Albums!$B$2:$B$406,B29,Albums!$H$2:$H$406,"yes",Albums!$J$2:$J$406,"&gt;0")</f>
        <v>1</v>
      </c>
      <c r="L29" s="5" t="n">
        <f aca="false">IF(G29=0,"",_xlfn.MINIFS(Albums!$E$2:$E$406,Albums!$B$2:$B$406,B29))</f>
        <v>1979</v>
      </c>
      <c r="M29" s="5" t="n">
        <f aca="false">IF(G29=0,"",_xlfn.MAXIFS(Albums!$E$2:$E$406,Albums!$B$2:$B$406,B29))</f>
        <v>2001</v>
      </c>
      <c r="N29" s="5" t="n">
        <f aca="false">IF(J29=0,"",_xlfn.MINIFS(Albums!$J$2:$J$406,Albums!$B$2:$B$406,B29,Albums!$J$2:$J$406,"&gt;0"))</f>
        <v>1</v>
      </c>
      <c r="O29" s="5" t="n">
        <f aca="false">IF(K29=0,"",_xlfn.MINIFS(Albums!$J$2:$J$406,Albums!$B$2:$B$406,B29,Albums!$H$2:$H$406,"yes",Albums!$J$2:$J$406,"&gt;0"))</f>
        <v>93</v>
      </c>
      <c r="P29" s="5" t="n">
        <f aca="false">COUNTIFS(Albums!$B$2:$B$406,B29,Albums!$H$2:$H$406,"yes",Albums!$J$2:$J$406,"&gt;0",Albums!$J$2:$J$406,"&lt;=40")</f>
        <v>0</v>
      </c>
      <c r="Q29" s="5" t="n">
        <f aca="false">COUNTIFS(Albums!$B$2:$B$406,B29,Albums!$M$2:$M$406,"&gt;0")</f>
        <v>2</v>
      </c>
      <c r="R29" s="5" t="n">
        <f aca="false">COUNTIFS(Albums!$B$2:$B$406,B29,Albums!$H$2:$H$406,"yes",Albums!$M$2:$M$406,"&gt;0")</f>
        <v>0</v>
      </c>
      <c r="S29" s="7" t="n">
        <f aca="false">SUMIFS(Albums!$M$2:$M$406,Albums!$B$2:$B$406,B29)</f>
        <v>2.5</v>
      </c>
      <c r="T29" s="7" t="n">
        <f aca="false">SUMIFS(Albums!$M$2:$M$406,Albums!$B$2:$B$406,B29,Albums!$H$2:$H$406,"yes")</f>
        <v>0</v>
      </c>
      <c r="U29" s="5" t="n">
        <f aca="false">COUNTIFS('Grammy nominations'!$A$2:$A$189,B29,'Grammy nominations'!$F$2:$F$189,"later")</f>
        <v>0</v>
      </c>
      <c r="V29" s="5" t="n">
        <f aca="false">COUNTIFS('Grammy nominations'!$A$2:$A$189,B29,'Grammy nominations'!$F$2:$F$189,"later",'Grammy nominations'!$E$2:$E$189,"won")</f>
        <v>0</v>
      </c>
      <c r="W29" s="5" t="n">
        <f aca="false">COUNTIFS('Grammy nominations'!$A$2:$A$189,B29,'Grammy nominations'!$F$2:$F$189,"same ceremony")</f>
        <v>1</v>
      </c>
      <c r="X29" s="5" t="n">
        <f aca="false">IF(G29=0,"",M29-L29+1-SUMIFS(Breaks!$H$2:$H$31,Breaks!$A$2:$A$31,B29))</f>
        <v>19</v>
      </c>
      <c r="Y29" s="5" t="n">
        <f aca="false">IF(G29=0,"",IF(M29&lt;E29,0,M29-MAX(L29,E29)+1-SUMIFS(Breaks!$H$2:$H$31,Breaks!$A$2:$A$31,B29,Breaks!$C$2:$C$31,"&gt;="&amp;E29)))</f>
        <v>18</v>
      </c>
      <c r="Z29" s="5" t="s">
        <v>136</v>
      </c>
    </row>
    <row r="30" customFormat="false" ht="15" hidden="false" customHeight="false" outlineLevel="0" collapsed="false">
      <c r="A30" s="5" t="s">
        <v>137</v>
      </c>
      <c r="B30" s="5" t="s">
        <v>138</v>
      </c>
      <c r="C30" s="5" t="s">
        <v>59</v>
      </c>
      <c r="D30" s="6" t="n">
        <v>30006</v>
      </c>
      <c r="E30" s="5" t="n">
        <f aca="false">YEAR(D30)</f>
        <v>1982</v>
      </c>
      <c r="F30" s="5" t="s">
        <v>52</v>
      </c>
      <c r="G30" s="5" t="n">
        <f aca="false">COUNTIFS(Albums!$B$2:$B$406,B30)</f>
        <v>14</v>
      </c>
      <c r="H30" s="5" t="n">
        <f aca="false">COUNTIFS(Albums!$B$2:$B$406,B30,Albums!$H$2:$H$406,"yes")</f>
        <v>13</v>
      </c>
      <c r="I30" s="5" t="n">
        <f aca="false">COUNTIFS(Albums!$B$2:$B$406,B30,Albums!$I$2:$I$406,"yes")</f>
        <v>14</v>
      </c>
      <c r="J30" s="5" t="n">
        <f aca="false">COUNTIFS(Albums!$B$2:$B$406,B30,Albums!$J$2:$J$406,"&gt;0")</f>
        <v>14</v>
      </c>
      <c r="K30" s="5" t="n">
        <f aca="false">COUNTIFS(Albums!$B$2:$B$406,B30,Albums!$H$2:$H$406,"yes",Albums!$J$2:$J$406,"&gt;0")</f>
        <v>13</v>
      </c>
      <c r="L30" s="5" t="n">
        <f aca="false">IF(G30=0,"",_xlfn.MINIFS(Albums!$E$2:$E$406,Albums!$B$2:$B$406,B30))</f>
        <v>1981</v>
      </c>
      <c r="M30" s="5" t="n">
        <f aca="false">IF(G30=0,"",_xlfn.MAXIFS(Albums!$E$2:$E$406,Albums!$B$2:$B$406,B30))</f>
        <v>2003</v>
      </c>
      <c r="N30" s="5" t="n">
        <f aca="false">IF(J30=0,"",_xlfn.MINIFS(Albums!$J$2:$J$406,Albums!$B$2:$B$406,B30,Albums!$J$2:$J$406,"&gt;0"))</f>
        <v>1</v>
      </c>
      <c r="O30" s="5" t="n">
        <f aca="false">IF(K30=0,"",_xlfn.MINIFS(Albums!$J$2:$J$406,Albums!$B$2:$B$406,B30,Albums!$H$2:$H$406,"yes",Albums!$J$2:$J$406,"&gt;0"))</f>
        <v>1</v>
      </c>
      <c r="P30" s="5" t="n">
        <f aca="false">COUNTIFS(Albums!$B$2:$B$406,B30,Albums!$H$2:$H$406,"yes",Albums!$J$2:$J$406,"&gt;0",Albums!$J$2:$J$406,"&lt;=40")</f>
        <v>13</v>
      </c>
      <c r="Q30" s="5" t="n">
        <f aca="false">COUNTIFS(Albums!$B$2:$B$406,B30,Albums!$M$2:$M$406,"&gt;0")</f>
        <v>14</v>
      </c>
      <c r="R30" s="5" t="n">
        <f aca="false">COUNTIFS(Albums!$B$2:$B$406,B30,Albums!$H$2:$H$406,"yes",Albums!$M$2:$M$406,"&gt;0")</f>
        <v>13</v>
      </c>
      <c r="S30" s="7" t="n">
        <f aca="false">SUMIFS(Albums!$M$2:$M$406,Albums!$B$2:$B$406,B30)</f>
        <v>19.5</v>
      </c>
      <c r="T30" s="7" t="n">
        <f aca="false">SUMIFS(Albums!$M$2:$M$406,Albums!$B$2:$B$406,B30,Albums!$H$2:$H$406,"yes")</f>
        <v>17.5</v>
      </c>
      <c r="U30" s="5" t="n">
        <f aca="false">COUNTIFS('Grammy nominations'!$A$2:$A$189,B30,'Grammy nominations'!$F$2:$F$189,"later")</f>
        <v>31</v>
      </c>
      <c r="V30" s="5" t="n">
        <f aca="false">COUNTIFS('Grammy nominations'!$A$2:$A$189,B30,'Grammy nominations'!$F$2:$F$189,"later",'Grammy nominations'!$E$2:$E$189,"won")</f>
        <v>8</v>
      </c>
      <c r="W30" s="5" t="n">
        <f aca="false">COUNTIFS('Grammy nominations'!$A$2:$A$189,B30,'Grammy nominations'!$F$2:$F$189,"same ceremony")</f>
        <v>1</v>
      </c>
      <c r="X30" s="5" t="n">
        <f aca="false">IF(G30=0,"",M30-L30+1-SUMIFS(Breaks!$H$2:$H$31,Breaks!$A$2:$A$31,B30))</f>
        <v>23</v>
      </c>
      <c r="Y30" s="5" t="n">
        <f aca="false">IF(G30=0,"",IF(M30&lt;E30,0,M30-MAX(L30,E30)+1-SUMIFS(Breaks!$H$2:$H$31,Breaks!$A$2:$A$31,B30,Breaks!$C$2:$C$31,"&gt;="&amp;E30)))</f>
        <v>22</v>
      </c>
      <c r="Z30" s="5" t="s">
        <v>139</v>
      </c>
    </row>
    <row r="31" customFormat="false" ht="15" hidden="false" customHeight="false" outlineLevel="0" collapsed="false">
      <c r="A31" s="5" t="s">
        <v>140</v>
      </c>
      <c r="B31" s="5" t="s">
        <v>141</v>
      </c>
      <c r="C31" s="5" t="s">
        <v>51</v>
      </c>
      <c r="D31" s="6" t="n">
        <v>30370</v>
      </c>
      <c r="E31" s="5" t="n">
        <f aca="false">YEAR(D31)</f>
        <v>1983</v>
      </c>
      <c r="F31" s="5" t="s">
        <v>72</v>
      </c>
      <c r="G31" s="5" t="n">
        <f aca="false">COUNTIFS(Albums!$B$2:$B$406,B31)</f>
        <v>3</v>
      </c>
      <c r="H31" s="5" t="n">
        <f aca="false">COUNTIFS(Albums!$B$2:$B$406,B31,Albums!$H$2:$H$406,"yes")</f>
        <v>2</v>
      </c>
      <c r="I31" s="5" t="n">
        <f aca="false">COUNTIFS(Albums!$B$2:$B$406,B31,Albums!$I$2:$I$406,"yes")</f>
        <v>3</v>
      </c>
      <c r="J31" s="5" t="n">
        <f aca="false">COUNTIFS(Albums!$B$2:$B$406,B31,Albums!$J$2:$J$406,"&gt;0")</f>
        <v>3</v>
      </c>
      <c r="K31" s="5" t="n">
        <f aca="false">COUNTIFS(Albums!$B$2:$B$406,B31,Albums!$H$2:$H$406,"yes",Albums!$J$2:$J$406,"&gt;0")</f>
        <v>2</v>
      </c>
      <c r="L31" s="5" t="n">
        <f aca="false">IF(G31=0,"",_xlfn.MINIFS(Albums!$E$2:$E$406,Albums!$B$2:$B$406,B31))</f>
        <v>1981</v>
      </c>
      <c r="M31" s="5" t="n">
        <f aca="false">IF(G31=0,"",_xlfn.MAXIFS(Albums!$E$2:$E$406,Albums!$B$2:$B$406,B31))</f>
        <v>1985</v>
      </c>
      <c r="N31" s="5" t="n">
        <f aca="false">IF(J31=0,"",_xlfn.MINIFS(Albums!$J$2:$J$406,Albums!$B$2:$B$406,B31,Albums!$J$2:$J$406,"&gt;0"))</f>
        <v>1</v>
      </c>
      <c r="O31" s="5" t="n">
        <f aca="false">IF(K31=0,"",_xlfn.MINIFS(Albums!$J$2:$J$406,Albums!$B$2:$B$406,B31,Albums!$H$2:$H$406,"yes",Albums!$J$2:$J$406,"&gt;0"))</f>
        <v>3</v>
      </c>
      <c r="P31" s="5" t="n">
        <f aca="false">COUNTIFS(Albums!$B$2:$B$406,B31,Albums!$H$2:$H$406,"yes",Albums!$J$2:$J$406,"&gt;0",Albums!$J$2:$J$406,"&lt;=40")</f>
        <v>1</v>
      </c>
      <c r="Q31" s="5" t="n">
        <f aca="false">COUNTIFS(Albums!$B$2:$B$406,B31,Albums!$M$2:$M$406,"&gt;0")</f>
        <v>3</v>
      </c>
      <c r="R31" s="5" t="n">
        <f aca="false">COUNTIFS(Albums!$B$2:$B$406,B31,Albums!$H$2:$H$406,"yes",Albums!$M$2:$M$406,"&gt;0")</f>
        <v>2</v>
      </c>
      <c r="S31" s="7" t="n">
        <f aca="false">SUMIFS(Albums!$M$2:$M$406,Albums!$B$2:$B$406,B31)</f>
        <v>9.5</v>
      </c>
      <c r="T31" s="7" t="n">
        <f aca="false">SUMIFS(Albums!$M$2:$M$406,Albums!$B$2:$B$406,B31,Albums!$H$2:$H$406,"yes")</f>
        <v>3.5</v>
      </c>
      <c r="U31" s="5" t="n">
        <f aca="false">COUNTIFS('Grammy nominations'!$A$2:$A$189,B31,'Grammy nominations'!$F$2:$F$189,"later")</f>
        <v>0</v>
      </c>
      <c r="V31" s="5" t="n">
        <f aca="false">COUNTIFS('Grammy nominations'!$A$2:$A$189,B31,'Grammy nominations'!$F$2:$F$189,"later",'Grammy nominations'!$E$2:$E$189,"won")</f>
        <v>0</v>
      </c>
      <c r="W31" s="5" t="n">
        <f aca="false">COUNTIFS('Grammy nominations'!$A$2:$A$189,B31,'Grammy nominations'!$F$2:$F$189,"same ceremony")</f>
        <v>0</v>
      </c>
      <c r="X31" s="5" t="n">
        <f aca="false">IF(G31=0,"",M31-L31+1-SUMIFS(Breaks!$H$2:$H$31,Breaks!$A$2:$A$31,B31))</f>
        <v>5</v>
      </c>
      <c r="Y31" s="5" t="n">
        <f aca="false">IF(G31=0,"",IF(M31&lt;E31,0,M31-MAX(L31,E31)+1-SUMIFS(Breaks!$H$2:$H$31,Breaks!$A$2:$A$31,B31,Breaks!$C$2:$C$31,"&gt;="&amp;E31)))</f>
        <v>3</v>
      </c>
      <c r="Z31" s="5" t="s">
        <v>142</v>
      </c>
    </row>
    <row r="32" customFormat="false" ht="15" hidden="false" customHeight="false" outlineLevel="0" collapsed="false">
      <c r="A32" s="5" t="s">
        <v>143</v>
      </c>
      <c r="B32" s="5" t="s">
        <v>144</v>
      </c>
      <c r="C32" s="5" t="s">
        <v>51</v>
      </c>
      <c r="D32" s="6" t="n">
        <v>30740</v>
      </c>
      <c r="E32" s="5" t="n">
        <f aca="false">YEAR(D32)</f>
        <v>1984</v>
      </c>
      <c r="F32" s="5" t="s">
        <v>52</v>
      </c>
      <c r="G32" s="5" t="n">
        <f aca="false">COUNTIFS(Albums!$B$2:$B$406,B32)</f>
        <v>9</v>
      </c>
      <c r="H32" s="5" t="n">
        <f aca="false">COUNTIFS(Albums!$B$2:$B$406,B32,Albums!$H$2:$H$406,"yes")</f>
        <v>8</v>
      </c>
      <c r="I32" s="5" t="n">
        <f aca="false">COUNTIFS(Albums!$B$2:$B$406,B32,Albums!$I$2:$I$406,"yes")</f>
        <v>4</v>
      </c>
      <c r="J32" s="5" t="n">
        <f aca="false">COUNTIFS(Albums!$B$2:$B$406,B32,Albums!$J$2:$J$406,"&gt;0")</f>
        <v>3</v>
      </c>
      <c r="K32" s="5" t="n">
        <f aca="false">COUNTIFS(Albums!$B$2:$B$406,B32,Albums!$H$2:$H$406,"yes",Albums!$J$2:$J$406,"&gt;0")</f>
        <v>2</v>
      </c>
      <c r="L32" s="5" t="n">
        <f aca="false">IF(G32=0,"",_xlfn.MINIFS(Albums!$E$2:$E$406,Albums!$B$2:$B$406,B32))</f>
        <v>1982</v>
      </c>
      <c r="M32" s="5" t="n">
        <f aca="false">IF(G32=0,"",_xlfn.MAXIFS(Albums!$E$2:$E$406,Albums!$B$2:$B$406,B32))</f>
        <v>2025</v>
      </c>
      <c r="N32" s="5" t="n">
        <f aca="false">IF(J32=0,"",_xlfn.MINIFS(Albums!$J$2:$J$406,Albums!$B$2:$B$406,B32,Albums!$J$2:$J$406,"&gt;0"))</f>
        <v>13</v>
      </c>
      <c r="O32" s="5" t="n">
        <f aca="false">IF(K32=0,"",_xlfn.MINIFS(Albums!$J$2:$J$406,Albums!$B$2:$B$406,B32,Albums!$H$2:$H$406,"yes",Albums!$J$2:$J$406,"&gt;0"))</f>
        <v>73</v>
      </c>
      <c r="P32" s="5" t="n">
        <f aca="false">COUNTIFS(Albums!$B$2:$B$406,B32,Albums!$H$2:$H$406,"yes",Albums!$J$2:$J$406,"&gt;0",Albums!$J$2:$J$406,"&lt;=40")</f>
        <v>0</v>
      </c>
      <c r="Q32" s="5" t="n">
        <f aca="false">COUNTIFS(Albums!$B$2:$B$406,B32,Albums!$M$2:$M$406,"&gt;0")</f>
        <v>1</v>
      </c>
      <c r="R32" s="5" t="n">
        <f aca="false">COUNTIFS(Albums!$B$2:$B$406,B32,Albums!$H$2:$H$406,"yes",Albums!$M$2:$M$406,"&gt;0")</f>
        <v>0</v>
      </c>
      <c r="S32" s="7" t="n">
        <f aca="false">SUMIFS(Albums!$M$2:$M$406,Albums!$B$2:$B$406,B32)</f>
        <v>0.5</v>
      </c>
      <c r="T32" s="7" t="n">
        <f aca="false">SUMIFS(Albums!$M$2:$M$406,Albums!$B$2:$B$406,B32,Albums!$H$2:$H$406,"yes")</f>
        <v>0</v>
      </c>
      <c r="U32" s="5" t="n">
        <f aca="false">COUNTIFS('Grammy nominations'!$A$2:$A$189,B32,'Grammy nominations'!$F$2:$F$189,"later")</f>
        <v>0</v>
      </c>
      <c r="V32" s="5" t="n">
        <f aca="false">COUNTIFS('Grammy nominations'!$A$2:$A$189,B32,'Grammy nominations'!$F$2:$F$189,"later",'Grammy nominations'!$E$2:$E$189,"won")</f>
        <v>0</v>
      </c>
      <c r="W32" s="5" t="n">
        <f aca="false">COUNTIFS('Grammy nominations'!$A$2:$A$189,B32,'Grammy nominations'!$F$2:$F$189,"same ceremony")</f>
        <v>0</v>
      </c>
      <c r="X32" s="5" t="n">
        <f aca="false">IF(G32=0,"",M32-L32+1-SUMIFS(Breaks!$H$2:$H$31,Breaks!$A$2:$A$31,B32))</f>
        <v>30</v>
      </c>
      <c r="Y32" s="5" t="n">
        <f aca="false">IF(G32=0,"",IF(M32&lt;E32,0,M32-MAX(L32,E32)+1-SUMIFS(Breaks!$H$2:$H$31,Breaks!$A$2:$A$31,B32,Breaks!$C$2:$C$31,"&gt;="&amp;E32)))</f>
        <v>28</v>
      </c>
      <c r="Z32" s="5" t="s">
        <v>145</v>
      </c>
    </row>
    <row r="33" customFormat="false" ht="15" hidden="false" customHeight="false" outlineLevel="0" collapsed="false">
      <c r="A33" s="5" t="s">
        <v>146</v>
      </c>
      <c r="B33" s="5" t="s">
        <v>147</v>
      </c>
      <c r="C33" s="5" t="s">
        <v>51</v>
      </c>
      <c r="D33" s="6" t="n">
        <v>30740</v>
      </c>
      <c r="E33" s="5" t="n">
        <f aca="false">YEAR(D33)</f>
        <v>1984</v>
      </c>
      <c r="F33" s="5" t="s">
        <v>52</v>
      </c>
      <c r="G33" s="5" t="n">
        <f aca="false">COUNTIFS(Albums!$B$2:$B$406,B33)</f>
        <v>3</v>
      </c>
      <c r="H33" s="5" t="n">
        <f aca="false">COUNTIFS(Albums!$B$2:$B$406,B33,Albums!$H$2:$H$406,"yes")</f>
        <v>1</v>
      </c>
      <c r="I33" s="5" t="n">
        <f aca="false">COUNTIFS(Albums!$B$2:$B$406,B33,Albums!$I$2:$I$406,"yes")</f>
        <v>2</v>
      </c>
      <c r="J33" s="5" t="n">
        <f aca="false">COUNTIFS(Albums!$B$2:$B$406,B33,Albums!$J$2:$J$406,"&gt;0")</f>
        <v>2</v>
      </c>
      <c r="K33" s="5" t="n">
        <f aca="false">COUNTIFS(Albums!$B$2:$B$406,B33,Albums!$H$2:$H$406,"yes",Albums!$J$2:$J$406,"&gt;0")</f>
        <v>0</v>
      </c>
      <c r="L33" s="5" t="n">
        <f aca="false">IF(G33=0,"",_xlfn.MINIFS(Albums!$E$2:$E$406,Albums!$B$2:$B$406,B33))</f>
        <v>1982</v>
      </c>
      <c r="M33" s="5" t="n">
        <f aca="false">IF(G33=0,"",_xlfn.MAXIFS(Albums!$E$2:$E$406,Albums!$B$2:$B$406,B33))</f>
        <v>2018</v>
      </c>
      <c r="N33" s="5" t="n">
        <f aca="false">IF(J33=0,"",_xlfn.MINIFS(Albums!$J$2:$J$406,Albums!$B$2:$B$406,B33,Albums!$J$2:$J$406,"&gt;0"))</f>
        <v>23</v>
      </c>
      <c r="O33" s="5" t="str">
        <f aca="false">IF(K33=0,"",_xlfn.MINIFS(Albums!$J$2:$J$406,Albums!$B$2:$B$406,B33,Albums!$H$2:$H$406,"yes",Albums!$J$2:$J$406,"&gt;0"))</f>
        <v/>
      </c>
      <c r="P33" s="5" t="n">
        <f aca="false">COUNTIFS(Albums!$B$2:$B$406,B33,Albums!$H$2:$H$406,"yes",Albums!$J$2:$J$406,"&gt;0",Albums!$J$2:$J$406,"&lt;=40")</f>
        <v>0</v>
      </c>
      <c r="Q33" s="5" t="n">
        <f aca="false">COUNTIFS(Albums!$B$2:$B$406,B33,Albums!$M$2:$M$406,"&gt;0")</f>
        <v>0</v>
      </c>
      <c r="R33" s="5" t="n">
        <f aca="false">COUNTIFS(Albums!$B$2:$B$406,B33,Albums!$H$2:$H$406,"yes",Albums!$M$2:$M$406,"&gt;0")</f>
        <v>0</v>
      </c>
      <c r="S33" s="7" t="n">
        <f aca="false">SUMIFS(Albums!$M$2:$M$406,Albums!$B$2:$B$406,B33)</f>
        <v>0</v>
      </c>
      <c r="T33" s="7" t="n">
        <f aca="false">SUMIFS(Albums!$M$2:$M$406,Albums!$B$2:$B$406,B33,Albums!$H$2:$H$406,"yes")</f>
        <v>0</v>
      </c>
      <c r="U33" s="5" t="n">
        <f aca="false">COUNTIFS('Grammy nominations'!$A$2:$A$189,B33,'Grammy nominations'!$F$2:$F$189,"later")</f>
        <v>0</v>
      </c>
      <c r="V33" s="5" t="n">
        <f aca="false">COUNTIFS('Grammy nominations'!$A$2:$A$189,B33,'Grammy nominations'!$F$2:$F$189,"later",'Grammy nominations'!$E$2:$E$189,"won")</f>
        <v>0</v>
      </c>
      <c r="W33" s="5" t="n">
        <f aca="false">COUNTIFS('Grammy nominations'!$A$2:$A$189,B33,'Grammy nominations'!$F$2:$F$189,"same ceremony")</f>
        <v>0</v>
      </c>
      <c r="X33" s="5" t="n">
        <f aca="false">IF(G33=0,"",M33-L33+1-SUMIFS(Breaks!$H$2:$H$31,Breaks!$A$2:$A$31,B33))</f>
        <v>22</v>
      </c>
      <c r="Y33" s="5" t="n">
        <f aca="false">IF(G33=0,"",IF(M33&lt;E33,0,M33-MAX(L33,E33)+1-SUMIFS(Breaks!$H$2:$H$31,Breaks!$A$2:$A$31,B33,Breaks!$C$2:$C$31,"&gt;="&amp;E33)))</f>
        <v>20</v>
      </c>
      <c r="Z33" s="5" t="s">
        <v>148</v>
      </c>
    </row>
    <row r="34" customFormat="false" ht="15" hidden="false" customHeight="false" outlineLevel="0" collapsed="false">
      <c r="A34" s="5" t="s">
        <v>149</v>
      </c>
      <c r="B34" s="5" t="s">
        <v>150</v>
      </c>
      <c r="C34" s="5" t="s">
        <v>59</v>
      </c>
      <c r="D34" s="6" t="n">
        <v>32925</v>
      </c>
      <c r="E34" s="5" t="n">
        <f aca="false">YEAR(D34)</f>
        <v>1990</v>
      </c>
      <c r="F34" s="5" t="s">
        <v>52</v>
      </c>
      <c r="G34" s="5" t="n">
        <f aca="false">COUNTIFS(Albums!$B$2:$B$406,B34)</f>
        <v>5</v>
      </c>
      <c r="H34" s="5" t="n">
        <f aca="false">COUNTIFS(Albums!$B$2:$B$406,B34,Albums!$H$2:$H$406,"yes")</f>
        <v>4</v>
      </c>
      <c r="I34" s="5" t="n">
        <f aca="false">COUNTIFS(Albums!$B$2:$B$406,B34,Albums!$I$2:$I$406,"yes")</f>
        <v>2</v>
      </c>
      <c r="J34" s="5" t="n">
        <f aca="false">COUNTIFS(Albums!$B$2:$B$406,B34,Albums!$J$2:$J$406,"&gt;0")</f>
        <v>1</v>
      </c>
      <c r="K34" s="5" t="n">
        <f aca="false">COUNTIFS(Albums!$B$2:$B$406,B34,Albums!$H$2:$H$406,"yes",Albums!$J$2:$J$406,"&gt;0")</f>
        <v>0</v>
      </c>
      <c r="L34" s="5" t="n">
        <f aca="false">IF(G34=0,"",_xlfn.MINIFS(Albums!$E$2:$E$406,Albums!$B$2:$B$406,B34))</f>
        <v>1989</v>
      </c>
      <c r="M34" s="5" t="n">
        <f aca="false">IF(G34=0,"",_xlfn.MAXIFS(Albums!$E$2:$E$406,Albums!$B$2:$B$406,B34))</f>
        <v>2018</v>
      </c>
      <c r="N34" s="5" t="n">
        <f aca="false">IF(J34=0,"",_xlfn.MINIFS(Albums!$J$2:$J$406,Albums!$B$2:$B$406,B34,Albums!$J$2:$J$406,"&gt;0"))</f>
        <v>40</v>
      </c>
      <c r="O34" s="5" t="str">
        <f aca="false">IF(K34=0,"",_xlfn.MINIFS(Albums!$J$2:$J$406,Albums!$B$2:$B$406,B34,Albums!$H$2:$H$406,"yes",Albums!$J$2:$J$406,"&gt;0"))</f>
        <v/>
      </c>
      <c r="P34" s="5" t="n">
        <f aca="false">COUNTIFS(Albums!$B$2:$B$406,B34,Albums!$H$2:$H$406,"yes",Albums!$J$2:$J$406,"&gt;0",Albums!$J$2:$J$406,"&lt;=40")</f>
        <v>0</v>
      </c>
      <c r="Q34" s="5" t="n">
        <f aca="false">COUNTIFS(Albums!$B$2:$B$406,B34,Albums!$M$2:$M$406,"&gt;0")</f>
        <v>0</v>
      </c>
      <c r="R34" s="5" t="n">
        <f aca="false">COUNTIFS(Albums!$B$2:$B$406,B34,Albums!$H$2:$H$406,"yes",Albums!$M$2:$M$406,"&gt;0")</f>
        <v>0</v>
      </c>
      <c r="S34" s="7" t="n">
        <f aca="false">SUMIFS(Albums!$M$2:$M$406,Albums!$B$2:$B$406,B34)</f>
        <v>0</v>
      </c>
      <c r="T34" s="7" t="n">
        <f aca="false">SUMIFS(Albums!$M$2:$M$406,Albums!$B$2:$B$406,B34,Albums!$H$2:$H$406,"yes")</f>
        <v>0</v>
      </c>
      <c r="U34" s="5" t="n">
        <f aca="false">COUNTIFS('Grammy nominations'!$A$2:$A$189,B34,'Grammy nominations'!$F$2:$F$189,"later")</f>
        <v>0</v>
      </c>
      <c r="V34" s="5" t="n">
        <f aca="false">COUNTIFS('Grammy nominations'!$A$2:$A$189,B34,'Grammy nominations'!$F$2:$F$189,"later",'Grammy nominations'!$E$2:$E$189,"won")</f>
        <v>0</v>
      </c>
      <c r="W34" s="5" t="n">
        <f aca="false">COUNTIFS('Grammy nominations'!$A$2:$A$189,B34,'Grammy nominations'!$F$2:$F$189,"same ceremony")</f>
        <v>0</v>
      </c>
      <c r="X34" s="5" t="n">
        <f aca="false">IF(G34=0,"",M34-L34+1-SUMIFS(Breaks!$H$2:$H$31,Breaks!$A$2:$A$31,B34))</f>
        <v>30</v>
      </c>
      <c r="Y34" s="5" t="n">
        <f aca="false">IF(G34=0,"",IF(M34&lt;E34,0,M34-MAX(L34,E34)+1-SUMIFS(Breaks!$H$2:$H$31,Breaks!$A$2:$A$31,B34,Breaks!$C$2:$C$31,"&gt;="&amp;E34)))</f>
        <v>29</v>
      </c>
      <c r="Z34" s="5" t="s">
        <v>151</v>
      </c>
    </row>
    <row r="35" customFormat="false" ht="15" hidden="false" customHeight="false" outlineLevel="0" collapsed="false">
      <c r="A35" s="5" t="s">
        <v>152</v>
      </c>
      <c r="B35" s="5" t="s">
        <v>153</v>
      </c>
      <c r="C35" s="5" t="s">
        <v>51</v>
      </c>
      <c r="D35" s="6" t="n">
        <v>31832</v>
      </c>
      <c r="E35" s="5" t="n">
        <f aca="false">YEAR(D35)</f>
        <v>1987</v>
      </c>
      <c r="F35" s="5" t="s">
        <v>52</v>
      </c>
      <c r="G35" s="5" t="n">
        <f aca="false">COUNTIFS(Albums!$B$2:$B$406,B35)</f>
        <v>5</v>
      </c>
      <c r="H35" s="5" t="n">
        <f aca="false">COUNTIFS(Albums!$B$2:$B$406,B35,Albums!$H$2:$H$406,"yes")</f>
        <v>2</v>
      </c>
      <c r="I35" s="5" t="n">
        <f aca="false">COUNTIFS(Albums!$B$2:$B$406,B35,Albums!$I$2:$I$406,"yes")</f>
        <v>2</v>
      </c>
      <c r="J35" s="5" t="n">
        <f aca="false">COUNTIFS(Albums!$B$2:$B$406,B35,Albums!$J$2:$J$406,"&gt;0")</f>
        <v>2</v>
      </c>
      <c r="K35" s="5" t="n">
        <f aca="false">COUNTIFS(Albums!$B$2:$B$406,B35,Albums!$H$2:$H$406,"yes",Albums!$J$2:$J$406,"&gt;0")</f>
        <v>1</v>
      </c>
      <c r="L35" s="5" t="n">
        <f aca="false">IF(G35=0,"",_xlfn.MINIFS(Albums!$E$2:$E$406,Albums!$B$2:$B$406,B35))</f>
        <v>1982</v>
      </c>
      <c r="M35" s="5" t="n">
        <f aca="false">IF(G35=0,"",_xlfn.MAXIFS(Albums!$E$2:$E$406,Albums!$B$2:$B$406,B35))</f>
        <v>2016</v>
      </c>
      <c r="N35" s="5" t="n">
        <f aca="false">IF(J35=0,"",_xlfn.MINIFS(Albums!$J$2:$J$406,Albums!$B$2:$B$406,B35,Albums!$J$2:$J$406,"&gt;0"))</f>
        <v>27</v>
      </c>
      <c r="O35" s="5" t="n">
        <f aca="false">IF(K35=0,"",_xlfn.MINIFS(Albums!$J$2:$J$406,Albums!$B$2:$B$406,B35,Albums!$H$2:$H$406,"yes",Albums!$J$2:$J$406,"&gt;0"))</f>
        <v>93</v>
      </c>
      <c r="P35" s="5" t="n">
        <f aca="false">COUNTIFS(Albums!$B$2:$B$406,B35,Albums!$H$2:$H$406,"yes",Albums!$J$2:$J$406,"&gt;0",Albums!$J$2:$J$406,"&lt;=40")</f>
        <v>0</v>
      </c>
      <c r="Q35" s="5" t="n">
        <f aca="false">COUNTIFS(Albums!$B$2:$B$406,B35,Albums!$M$2:$M$406,"&gt;0")</f>
        <v>1</v>
      </c>
      <c r="R35" s="5" t="n">
        <f aca="false">COUNTIFS(Albums!$B$2:$B$406,B35,Albums!$H$2:$H$406,"yes",Albums!$M$2:$M$406,"&gt;0")</f>
        <v>0</v>
      </c>
      <c r="S35" s="7" t="n">
        <f aca="false">SUMIFS(Albums!$M$2:$M$406,Albums!$B$2:$B$406,B35)</f>
        <v>0.5</v>
      </c>
      <c r="T35" s="7" t="n">
        <f aca="false">SUMIFS(Albums!$M$2:$M$406,Albums!$B$2:$B$406,B35,Albums!$H$2:$H$406,"yes")</f>
        <v>0</v>
      </c>
      <c r="U35" s="5" t="n">
        <f aca="false">COUNTIFS('Grammy nominations'!$A$2:$A$189,B35,'Grammy nominations'!$F$2:$F$189,"later")</f>
        <v>0</v>
      </c>
      <c r="V35" s="5" t="n">
        <f aca="false">COUNTIFS('Grammy nominations'!$A$2:$A$189,B35,'Grammy nominations'!$F$2:$F$189,"later",'Grammy nominations'!$E$2:$E$189,"won")</f>
        <v>0</v>
      </c>
      <c r="W35" s="5" t="n">
        <f aca="false">COUNTIFS('Grammy nominations'!$A$2:$A$189,B35,'Grammy nominations'!$F$2:$F$189,"same ceremony")</f>
        <v>0</v>
      </c>
      <c r="X35" s="5" t="n">
        <f aca="false">IF(G35=0,"",M35-L35+1-SUMIFS(Breaks!$H$2:$H$31,Breaks!$A$2:$A$31,B35))</f>
        <v>15</v>
      </c>
      <c r="Y35" s="5" t="n">
        <f aca="false">IF(G35=0,"",IF(M35&lt;E35,0,M35-MAX(L35,E35)+1-SUMIFS(Breaks!$H$2:$H$31,Breaks!$A$2:$A$31,B35,Breaks!$C$2:$C$31,"&gt;="&amp;E35)))</f>
        <v>10</v>
      </c>
      <c r="Z35" s="5" t="s">
        <v>103</v>
      </c>
    </row>
    <row r="36" customFormat="false" ht="15" hidden="false" customHeight="false" outlineLevel="0" collapsed="false">
      <c r="A36" s="5" t="s">
        <v>154</v>
      </c>
      <c r="B36" s="5" t="s">
        <v>155</v>
      </c>
      <c r="C36" s="5" t="s">
        <v>51</v>
      </c>
      <c r="D36" s="6" t="n">
        <v>29642</v>
      </c>
      <c r="E36" s="5" t="n">
        <f aca="false">YEAR(D36)</f>
        <v>1981</v>
      </c>
      <c r="F36" s="5" t="s">
        <v>52</v>
      </c>
      <c r="G36" s="5" t="n">
        <f aca="false">COUNTIFS(Albums!$B$2:$B$406,B36)</f>
        <v>12</v>
      </c>
      <c r="H36" s="5" t="n">
        <f aca="false">COUNTIFS(Albums!$B$2:$B$406,B36,Albums!$H$2:$H$406,"yes")</f>
        <v>11</v>
      </c>
      <c r="I36" s="5" t="n">
        <f aca="false">COUNTIFS(Albums!$B$2:$B$406,B36,Albums!$I$2:$I$406,"yes")</f>
        <v>10</v>
      </c>
      <c r="J36" s="5" t="n">
        <f aca="false">COUNTIFS(Albums!$B$2:$B$406,B36,Albums!$J$2:$J$406,"&gt;0")</f>
        <v>10</v>
      </c>
      <c r="K36" s="5" t="n">
        <f aca="false">COUNTIFS(Albums!$B$2:$B$406,B36,Albums!$H$2:$H$406,"yes",Albums!$J$2:$J$406,"&gt;0")</f>
        <v>9</v>
      </c>
      <c r="L36" s="5" t="n">
        <f aca="false">IF(G36=0,"",_xlfn.MINIFS(Albums!$E$2:$E$406,Albums!$B$2:$B$406,B36))</f>
        <v>1980</v>
      </c>
      <c r="M36" s="5" t="n">
        <f aca="false">IF(G36=0,"",_xlfn.MAXIFS(Albums!$E$2:$E$406,Albums!$B$2:$B$406,B36))</f>
        <v>2023</v>
      </c>
      <c r="N36" s="5" t="n">
        <f aca="false">IF(J36=0,"",_xlfn.MINIFS(Albums!$J$2:$J$406,Albums!$B$2:$B$406,B36,Albums!$J$2:$J$406,"&gt;0"))</f>
        <v>5</v>
      </c>
      <c r="O36" s="5" t="n">
        <f aca="false">IF(K36=0,"",_xlfn.MINIFS(Albums!$J$2:$J$406,Albums!$B$2:$B$406,B36,Albums!$H$2:$H$406,"yes",Albums!$J$2:$J$406,"&gt;0"))</f>
        <v>5</v>
      </c>
      <c r="P36" s="5" t="n">
        <f aca="false">COUNTIFS(Albums!$B$2:$B$406,B36,Albums!$H$2:$H$406,"yes",Albums!$J$2:$J$406,"&gt;0",Albums!$J$2:$J$406,"&lt;=40")</f>
        <v>4</v>
      </c>
      <c r="Q36" s="5" t="n">
        <f aca="false">COUNTIFS(Albums!$B$2:$B$406,B36,Albums!$M$2:$M$406,"&gt;0")</f>
        <v>5</v>
      </c>
      <c r="R36" s="5" t="n">
        <f aca="false">COUNTIFS(Albums!$B$2:$B$406,B36,Albums!$H$2:$H$406,"yes",Albums!$M$2:$M$406,"&gt;0")</f>
        <v>4</v>
      </c>
      <c r="S36" s="7" t="n">
        <f aca="false">SUMIFS(Albums!$M$2:$M$406,Albums!$B$2:$B$406,B36)</f>
        <v>3.5</v>
      </c>
      <c r="T36" s="7" t="n">
        <f aca="false">SUMIFS(Albums!$M$2:$M$406,Albums!$B$2:$B$406,B36,Albums!$H$2:$H$406,"yes")</f>
        <v>2.5</v>
      </c>
      <c r="U36" s="5" t="n">
        <f aca="false">COUNTIFS('Grammy nominations'!$A$2:$A$189,B36,'Grammy nominations'!$F$2:$F$189,"later")</f>
        <v>1</v>
      </c>
      <c r="V36" s="5" t="n">
        <f aca="false">COUNTIFS('Grammy nominations'!$A$2:$A$189,B36,'Grammy nominations'!$F$2:$F$189,"later",'Grammy nominations'!$E$2:$E$189,"won")</f>
        <v>0</v>
      </c>
      <c r="W36" s="5" t="n">
        <f aca="false">COUNTIFS('Grammy nominations'!$A$2:$A$189,B36,'Grammy nominations'!$F$2:$F$189,"same ceremony")</f>
        <v>2</v>
      </c>
      <c r="X36" s="5" t="n">
        <f aca="false">IF(G36=0,"",M36-L36+1-SUMIFS(Breaks!$H$2:$H$31,Breaks!$A$2:$A$31,B36))</f>
        <v>44</v>
      </c>
      <c r="Y36" s="5" t="n">
        <f aca="false">IF(G36=0,"",IF(M36&lt;E36,0,M36-MAX(L36,E36)+1-SUMIFS(Breaks!$H$2:$H$31,Breaks!$A$2:$A$31,B36,Breaks!$C$2:$C$31,"&gt;="&amp;E36)))</f>
        <v>43</v>
      </c>
      <c r="Z36" s="5" t="s">
        <v>156</v>
      </c>
    </row>
    <row r="37" customFormat="false" ht="15" hidden="false" customHeight="false" outlineLevel="0" collapsed="false">
      <c r="A37" s="5" t="s">
        <v>157</v>
      </c>
      <c r="B37" s="5" t="s">
        <v>158</v>
      </c>
      <c r="C37" s="5" t="s">
        <v>59</v>
      </c>
      <c r="D37" s="6" t="n">
        <v>32561</v>
      </c>
      <c r="E37" s="5" t="n">
        <f aca="false">YEAR(D37)</f>
        <v>1989</v>
      </c>
      <c r="F37" s="5" t="s">
        <v>52</v>
      </c>
      <c r="G37" s="5" t="n">
        <f aca="false">COUNTIFS(Albums!$B$2:$B$406,B37)</f>
        <v>9</v>
      </c>
      <c r="H37" s="5" t="n">
        <f aca="false">COUNTIFS(Albums!$B$2:$B$406,B37,Albums!$H$2:$H$406,"yes")</f>
        <v>7</v>
      </c>
      <c r="I37" s="5" t="n">
        <f aca="false">COUNTIFS(Albums!$B$2:$B$406,B37,Albums!$I$2:$I$406,"yes")</f>
        <v>5</v>
      </c>
      <c r="J37" s="5" t="n">
        <f aca="false">COUNTIFS(Albums!$B$2:$B$406,B37,Albums!$J$2:$J$406,"&gt;0")</f>
        <v>4</v>
      </c>
      <c r="K37" s="5" t="n">
        <f aca="false">COUNTIFS(Albums!$B$2:$B$406,B37,Albums!$H$2:$H$406,"yes",Albums!$J$2:$J$406,"&gt;0")</f>
        <v>2</v>
      </c>
      <c r="L37" s="5" t="n">
        <f aca="false">IF(G37=0,"",_xlfn.MINIFS(Albums!$E$2:$E$406,Albums!$B$2:$B$406,B37))</f>
        <v>1987</v>
      </c>
      <c r="M37" s="5" t="n">
        <f aca="false">IF(G37=0,"",_xlfn.MAXIFS(Albums!$E$2:$E$406,Albums!$B$2:$B$406,B37))</f>
        <v>2023</v>
      </c>
      <c r="N37" s="5" t="n">
        <f aca="false">IF(J37=0,"",_xlfn.MINIFS(Albums!$J$2:$J$406,Albums!$B$2:$B$406,B37,Albums!$J$2:$J$406,"&gt;0"))</f>
        <v>10</v>
      </c>
      <c r="O37" s="5" t="n">
        <f aca="false">IF(K37=0,"",_xlfn.MINIFS(Albums!$J$2:$J$406,Albums!$B$2:$B$406,B37,Albums!$H$2:$H$406,"yes",Albums!$J$2:$J$406,"&gt;0"))</f>
        <v>31</v>
      </c>
      <c r="P37" s="5" t="n">
        <f aca="false">COUNTIFS(Albums!$B$2:$B$406,B37,Albums!$H$2:$H$406,"yes",Albums!$J$2:$J$406,"&gt;0",Albums!$J$2:$J$406,"&lt;=40")</f>
        <v>1</v>
      </c>
      <c r="Q37" s="5" t="n">
        <f aca="false">COUNTIFS(Albums!$B$2:$B$406,B37,Albums!$M$2:$M$406,"&gt;0")</f>
        <v>2</v>
      </c>
      <c r="R37" s="5" t="n">
        <f aca="false">COUNTIFS(Albums!$B$2:$B$406,B37,Albums!$H$2:$H$406,"yes",Albums!$M$2:$M$406,"&gt;0")</f>
        <v>0</v>
      </c>
      <c r="S37" s="7" t="n">
        <f aca="false">SUMIFS(Albums!$M$2:$M$406,Albums!$B$2:$B$406,B37)</f>
        <v>2.5</v>
      </c>
      <c r="T37" s="7" t="n">
        <f aca="false">SUMIFS(Albums!$M$2:$M$406,Albums!$B$2:$B$406,B37,Albums!$H$2:$H$406,"yes")</f>
        <v>0</v>
      </c>
      <c r="U37" s="5" t="n">
        <f aca="false">COUNTIFS('Grammy nominations'!$A$2:$A$189,B37,'Grammy nominations'!$F$2:$F$189,"later")</f>
        <v>0</v>
      </c>
      <c r="V37" s="5" t="n">
        <f aca="false">COUNTIFS('Grammy nominations'!$A$2:$A$189,B37,'Grammy nominations'!$F$2:$F$189,"later",'Grammy nominations'!$E$2:$E$189,"won")</f>
        <v>0</v>
      </c>
      <c r="W37" s="5" t="n">
        <f aca="false">COUNTIFS('Grammy nominations'!$A$2:$A$189,B37,'Grammy nominations'!$F$2:$F$189,"same ceremony")</f>
        <v>0</v>
      </c>
      <c r="X37" s="5" t="n">
        <f aca="false">IF(G37=0,"",M37-L37+1-SUMIFS(Breaks!$H$2:$H$31,Breaks!$A$2:$A$31,B37))</f>
        <v>37</v>
      </c>
      <c r="Y37" s="5" t="n">
        <f aca="false">IF(G37=0,"",IF(M37&lt;E37,0,M37-MAX(L37,E37)+1-SUMIFS(Breaks!$H$2:$H$31,Breaks!$A$2:$A$31,B37,Breaks!$C$2:$C$31,"&gt;="&amp;E37)))</f>
        <v>35</v>
      </c>
      <c r="Z37" s="5" t="s">
        <v>159</v>
      </c>
    </row>
    <row r="38" customFormat="false" ht="15" hidden="false" customHeight="false" outlineLevel="0" collapsed="false">
      <c r="A38" s="5" t="s">
        <v>160</v>
      </c>
      <c r="B38" s="5" t="s">
        <v>161</v>
      </c>
      <c r="C38" s="5" t="s">
        <v>59</v>
      </c>
      <c r="D38" s="6" t="n">
        <v>29278</v>
      </c>
      <c r="E38" s="5" t="n">
        <f aca="false">YEAR(D38)</f>
        <v>1980</v>
      </c>
      <c r="F38" s="5" t="s">
        <v>72</v>
      </c>
      <c r="G38" s="5" t="n">
        <f aca="false">COUNTIFS(Albums!$B$2:$B$406,B38)</f>
        <v>15</v>
      </c>
      <c r="H38" s="5" t="n">
        <f aca="false">COUNTIFS(Albums!$B$2:$B$406,B38,Albums!$H$2:$H$406,"yes")</f>
        <v>14</v>
      </c>
      <c r="I38" s="5" t="n">
        <f aca="false">COUNTIFS(Albums!$B$2:$B$406,B38,Albums!$I$2:$I$406,"yes")</f>
        <v>13</v>
      </c>
      <c r="J38" s="5" t="n">
        <f aca="false">COUNTIFS(Albums!$B$2:$B$406,B38,Albums!$J$2:$J$406,"&gt;0")</f>
        <v>12</v>
      </c>
      <c r="K38" s="5" t="n">
        <f aca="false">COUNTIFS(Albums!$B$2:$B$406,B38,Albums!$H$2:$H$406,"yes",Albums!$J$2:$J$406,"&gt;0")</f>
        <v>11</v>
      </c>
      <c r="L38" s="5" t="n">
        <f aca="false">IF(G38=0,"",_xlfn.MINIFS(Albums!$E$2:$E$406,Albums!$B$2:$B$406,B38))</f>
        <v>1979</v>
      </c>
      <c r="M38" s="5" t="n">
        <f aca="false">IF(G38=0,"",_xlfn.MAXIFS(Albums!$E$2:$E$406,Albums!$B$2:$B$406,B38))</f>
        <v>2023</v>
      </c>
      <c r="N38" s="5" t="n">
        <f aca="false">IF(J38=0,"",_xlfn.MINIFS(Albums!$J$2:$J$406,Albums!$B$2:$B$406,B38,Albums!$J$2:$J$406,"&gt;0"))</f>
        <v>3</v>
      </c>
      <c r="O38" s="5" t="n">
        <f aca="false">IF(K38=0,"",_xlfn.MINIFS(Albums!$J$2:$J$406,Albums!$B$2:$B$406,B38,Albums!$H$2:$H$406,"yes",Albums!$J$2:$J$406,"&gt;0"))</f>
        <v>5</v>
      </c>
      <c r="P38" s="5" t="n">
        <f aca="false">COUNTIFS(Albums!$B$2:$B$406,B38,Albums!$H$2:$H$406,"yes",Albums!$J$2:$J$406,"&gt;0",Albums!$J$2:$J$406,"&lt;=40")</f>
        <v>2</v>
      </c>
      <c r="Q38" s="5" t="n">
        <f aca="false">COUNTIFS(Albums!$B$2:$B$406,B38,Albums!$M$2:$M$406,"&gt;0")</f>
        <v>3</v>
      </c>
      <c r="R38" s="5" t="n">
        <f aca="false">COUNTIFS(Albums!$B$2:$B$406,B38,Albums!$H$2:$H$406,"yes",Albums!$M$2:$M$406,"&gt;0")</f>
        <v>2</v>
      </c>
      <c r="S38" s="7" t="n">
        <f aca="false">SUMIFS(Albums!$M$2:$M$406,Albums!$B$2:$B$406,B38)</f>
        <v>2</v>
      </c>
      <c r="T38" s="7" t="n">
        <f aca="false">SUMIFS(Albums!$M$2:$M$406,Albums!$B$2:$B$406,B38,Albums!$H$2:$H$406,"yes")</f>
        <v>1</v>
      </c>
      <c r="U38" s="5" t="n">
        <f aca="false">COUNTIFS('Grammy nominations'!$A$2:$A$189,B38,'Grammy nominations'!$F$2:$F$189,"later")</f>
        <v>4</v>
      </c>
      <c r="V38" s="5" t="n">
        <f aca="false">COUNTIFS('Grammy nominations'!$A$2:$A$189,B38,'Grammy nominations'!$F$2:$F$189,"later",'Grammy nominations'!$E$2:$E$189,"won")</f>
        <v>1</v>
      </c>
      <c r="W38" s="5" t="n">
        <f aca="false">COUNTIFS('Grammy nominations'!$A$2:$A$189,B38,'Grammy nominations'!$F$2:$F$189,"same ceremony")</f>
        <v>3</v>
      </c>
      <c r="X38" s="5" t="n">
        <f aca="false">IF(G38=0,"",M38-L38+1-SUMIFS(Breaks!$H$2:$H$31,Breaks!$A$2:$A$31,B38))</f>
        <v>45</v>
      </c>
      <c r="Y38" s="5" t="n">
        <f aca="false">IF(G38=0,"",IF(M38&lt;E38,0,M38-MAX(L38,E38)+1-SUMIFS(Breaks!$H$2:$H$31,Breaks!$A$2:$A$31,B38,Breaks!$C$2:$C$31,"&gt;="&amp;E38)))</f>
        <v>44</v>
      </c>
      <c r="Z38" s="5" t="s">
        <v>162</v>
      </c>
    </row>
    <row r="39" customFormat="false" ht="15" hidden="false" customHeight="false" outlineLevel="0" collapsed="false">
      <c r="A39" s="5" t="s">
        <v>163</v>
      </c>
      <c r="B39" s="5" t="s">
        <v>164</v>
      </c>
      <c r="C39" s="5" t="s">
        <v>59</v>
      </c>
      <c r="D39" s="6" t="n">
        <v>29642</v>
      </c>
      <c r="E39" s="5" t="n">
        <f aca="false">YEAR(D39)</f>
        <v>1981</v>
      </c>
      <c r="F39" s="5" t="s">
        <v>52</v>
      </c>
      <c r="G39" s="5" t="n">
        <f aca="false">COUNTIFS(Albums!$B$2:$B$406,B39)</f>
        <v>7</v>
      </c>
      <c r="H39" s="5" t="n">
        <f aca="false">COUNTIFS(Albums!$B$2:$B$406,B39,Albums!$H$2:$H$406,"yes")</f>
        <v>6</v>
      </c>
      <c r="I39" s="5" t="n">
        <f aca="false">COUNTIFS(Albums!$B$2:$B$406,B39,Albums!$I$2:$I$406,"yes")</f>
        <v>2</v>
      </c>
      <c r="J39" s="5" t="n">
        <f aca="false">COUNTIFS(Albums!$B$2:$B$406,B39,Albums!$J$2:$J$406,"&gt;0")</f>
        <v>2</v>
      </c>
      <c r="K39" s="5" t="n">
        <f aca="false">COUNTIFS(Albums!$B$2:$B$406,B39,Albums!$H$2:$H$406,"yes",Albums!$J$2:$J$406,"&gt;0")</f>
        <v>1</v>
      </c>
      <c r="L39" s="5" t="n">
        <f aca="false">IF(G39=0,"",_xlfn.MINIFS(Albums!$E$2:$E$406,Albums!$B$2:$B$406,B39))</f>
        <v>1980</v>
      </c>
      <c r="M39" s="5" t="n">
        <f aca="false">IF(G39=0,"",_xlfn.MAXIFS(Albums!$E$2:$E$406,Albums!$B$2:$B$406,B39))</f>
        <v>2008</v>
      </c>
      <c r="N39" s="5" t="n">
        <f aca="false">IF(J39=0,"",_xlfn.MINIFS(Albums!$J$2:$J$406,Albums!$B$2:$B$406,B39,Albums!$J$2:$J$406,"&gt;0"))</f>
        <v>51</v>
      </c>
      <c r="O39" s="5" t="n">
        <f aca="false">IF(K39=0,"",_xlfn.MINIFS(Albums!$J$2:$J$406,Albums!$B$2:$B$406,B39,Albums!$H$2:$H$406,"yes",Albums!$J$2:$J$406,"&gt;0"))</f>
        <v>169</v>
      </c>
      <c r="P39" s="5" t="n">
        <f aca="false">COUNTIFS(Albums!$B$2:$B$406,B39,Albums!$H$2:$H$406,"yes",Albums!$J$2:$J$406,"&gt;0",Albums!$J$2:$J$406,"&lt;=40")</f>
        <v>0</v>
      </c>
      <c r="Q39" s="5" t="n">
        <f aca="false">COUNTIFS(Albums!$B$2:$B$406,B39,Albums!$M$2:$M$406,"&gt;0")</f>
        <v>0</v>
      </c>
      <c r="R39" s="5" t="n">
        <f aca="false">COUNTIFS(Albums!$B$2:$B$406,B39,Albums!$H$2:$H$406,"yes",Albums!$M$2:$M$406,"&gt;0")</f>
        <v>0</v>
      </c>
      <c r="S39" s="7" t="n">
        <f aca="false">SUMIFS(Albums!$M$2:$M$406,Albums!$B$2:$B$406,B39)</f>
        <v>0</v>
      </c>
      <c r="T39" s="7" t="n">
        <f aca="false">SUMIFS(Albums!$M$2:$M$406,Albums!$B$2:$B$406,B39,Albums!$H$2:$H$406,"yes")</f>
        <v>0</v>
      </c>
      <c r="U39" s="5" t="n">
        <f aca="false">COUNTIFS('Grammy nominations'!$A$2:$A$189,B39,'Grammy nominations'!$F$2:$F$189,"later")</f>
        <v>0</v>
      </c>
      <c r="V39" s="5" t="n">
        <f aca="false">COUNTIFS('Grammy nominations'!$A$2:$A$189,B39,'Grammy nominations'!$F$2:$F$189,"later",'Grammy nominations'!$E$2:$E$189,"won")</f>
        <v>0</v>
      </c>
      <c r="W39" s="5" t="n">
        <f aca="false">COUNTIFS('Grammy nominations'!$A$2:$A$189,B39,'Grammy nominations'!$F$2:$F$189,"same ceremony")</f>
        <v>0</v>
      </c>
      <c r="X39" s="5" t="n">
        <f aca="false">IF(G39=0,"",M39-L39+1-SUMIFS(Breaks!$H$2:$H$31,Breaks!$A$2:$A$31,B39))</f>
        <v>29</v>
      </c>
      <c r="Y39" s="5" t="n">
        <f aca="false">IF(G39=0,"",IF(M39&lt;E39,0,M39-MAX(L39,E39)+1-SUMIFS(Breaks!$H$2:$H$31,Breaks!$A$2:$A$31,B39,Breaks!$C$2:$C$31,"&gt;="&amp;E39)))</f>
        <v>28</v>
      </c>
      <c r="Z39" s="5" t="s">
        <v>165</v>
      </c>
    </row>
    <row r="40" customFormat="false" ht="15" hidden="false" customHeight="false" outlineLevel="0" collapsed="false">
      <c r="A40" s="5" t="s">
        <v>166</v>
      </c>
      <c r="B40" s="5" t="s">
        <v>167</v>
      </c>
      <c r="C40" s="5" t="s">
        <v>51</v>
      </c>
      <c r="D40" s="6" t="n">
        <v>31468</v>
      </c>
      <c r="E40" s="5" t="n">
        <f aca="false">YEAR(D40)</f>
        <v>1986</v>
      </c>
      <c r="F40" s="5" t="s">
        <v>72</v>
      </c>
      <c r="G40" s="5" t="n">
        <f aca="false">COUNTIFS(Albums!$B$2:$B$406,B40)</f>
        <v>6</v>
      </c>
      <c r="H40" s="5" t="n">
        <f aca="false">COUNTIFS(Albums!$B$2:$B$406,B40,Albums!$H$2:$H$406,"yes")</f>
        <v>4</v>
      </c>
      <c r="I40" s="5" t="n">
        <f aca="false">COUNTIFS(Albums!$B$2:$B$406,B40,Albums!$I$2:$I$406,"yes")</f>
        <v>6</v>
      </c>
      <c r="J40" s="5" t="n">
        <f aca="false">COUNTIFS(Albums!$B$2:$B$406,B40,Albums!$J$2:$J$406,"&gt;0")</f>
        <v>6</v>
      </c>
      <c r="K40" s="5" t="n">
        <f aca="false">COUNTIFS(Albums!$B$2:$B$406,B40,Albums!$H$2:$H$406,"yes",Albums!$J$2:$J$406,"&gt;0")</f>
        <v>4</v>
      </c>
      <c r="L40" s="5" t="n">
        <f aca="false">IF(G40=0,"",_xlfn.MINIFS(Albums!$E$2:$E$406,Albums!$B$2:$B$406,B40))</f>
        <v>1984</v>
      </c>
      <c r="M40" s="5" t="n">
        <f aca="false">IF(G40=0,"",_xlfn.MAXIFS(Albums!$E$2:$E$406,Albums!$B$2:$B$406,B40))</f>
        <v>2010</v>
      </c>
      <c r="N40" s="5" t="n">
        <f aca="false">IF(J40=0,"",_xlfn.MINIFS(Albums!$J$2:$J$406,Albums!$B$2:$B$406,B40,Albums!$J$2:$J$406,"&gt;0"))</f>
        <v>1</v>
      </c>
      <c r="O40" s="5" t="n">
        <f aca="false">IF(K40=0,"",_xlfn.MINIFS(Albums!$J$2:$J$406,Albums!$B$2:$B$406,B40,Albums!$H$2:$H$406,"yes",Albums!$J$2:$J$406,"&gt;0"))</f>
        <v>1</v>
      </c>
      <c r="P40" s="5" t="n">
        <f aca="false">COUNTIFS(Albums!$B$2:$B$406,B40,Albums!$H$2:$H$406,"yes",Albums!$J$2:$J$406,"&gt;0",Albums!$J$2:$J$406,"&lt;=40")</f>
        <v>4</v>
      </c>
      <c r="Q40" s="5" t="n">
        <f aca="false">COUNTIFS(Albums!$B$2:$B$406,B40,Albums!$M$2:$M$406,"&gt;0")</f>
        <v>6</v>
      </c>
      <c r="R40" s="5" t="n">
        <f aca="false">COUNTIFS(Albums!$B$2:$B$406,B40,Albums!$H$2:$H$406,"yes",Albums!$M$2:$M$406,"&gt;0")</f>
        <v>4</v>
      </c>
      <c r="S40" s="7" t="n">
        <f aca="false">SUMIFS(Albums!$M$2:$M$406,Albums!$B$2:$B$406,B40)</f>
        <v>19</v>
      </c>
      <c r="T40" s="7" t="n">
        <f aca="false">SUMIFS(Albums!$M$2:$M$406,Albums!$B$2:$B$406,B40,Albums!$H$2:$H$406,"yes")</f>
        <v>11</v>
      </c>
      <c r="U40" s="5" t="n">
        <f aca="false">COUNTIFS('Grammy nominations'!$A$2:$A$189,B40,'Grammy nominations'!$F$2:$F$189,"later")</f>
        <v>8</v>
      </c>
      <c r="V40" s="5" t="n">
        <f aca="false">COUNTIFS('Grammy nominations'!$A$2:$A$189,B40,'Grammy nominations'!$F$2:$F$189,"later",'Grammy nominations'!$E$2:$E$189,"won")</f>
        <v>3</v>
      </c>
      <c r="W40" s="5" t="n">
        <f aca="false">COUNTIFS('Grammy nominations'!$A$2:$A$189,B40,'Grammy nominations'!$F$2:$F$189,"same ceremony")</f>
        <v>0</v>
      </c>
      <c r="X40" s="5" t="n">
        <f aca="false">IF(G40=0,"",M40-L40+1-SUMIFS(Breaks!$H$2:$H$31,Breaks!$A$2:$A$31,B40))</f>
        <v>27</v>
      </c>
      <c r="Y40" s="5" t="n">
        <f aca="false">IF(G40=0,"",IF(M40&lt;E40,0,M40-MAX(L40,E40)+1-SUMIFS(Breaks!$H$2:$H$31,Breaks!$A$2:$A$31,B40,Breaks!$C$2:$C$31,"&gt;="&amp;E40)))</f>
        <v>25</v>
      </c>
      <c r="Z40" s="5" t="s">
        <v>168</v>
      </c>
    </row>
    <row r="41" customFormat="false" ht="15" hidden="false" customHeight="false" outlineLevel="0" collapsed="false">
      <c r="A41" s="5" t="s">
        <v>169</v>
      </c>
      <c r="B41" s="5" t="s">
        <v>170</v>
      </c>
      <c r="C41" s="5" t="s">
        <v>59</v>
      </c>
      <c r="D41" s="6" t="n">
        <v>30006</v>
      </c>
      <c r="E41" s="5" t="n">
        <f aca="false">YEAR(D41)</f>
        <v>1982</v>
      </c>
      <c r="F41" s="5" t="s">
        <v>72</v>
      </c>
      <c r="G41" s="5" t="n">
        <f aca="false">COUNTIFS(Albums!$B$2:$B$406,B41)</f>
        <v>14</v>
      </c>
      <c r="H41" s="5" t="n">
        <f aca="false">COUNTIFS(Albums!$B$2:$B$406,B41,Albums!$H$2:$H$406,"yes")</f>
        <v>12</v>
      </c>
      <c r="I41" s="5" t="n">
        <f aca="false">COUNTIFS(Albums!$B$2:$B$406,B41,Albums!$I$2:$I$406,"yes")</f>
        <v>8</v>
      </c>
      <c r="J41" s="5" t="n">
        <f aca="false">COUNTIFS(Albums!$B$2:$B$406,B41,Albums!$J$2:$J$406,"&gt;0")</f>
        <v>8</v>
      </c>
      <c r="K41" s="5" t="n">
        <f aca="false">COUNTIFS(Albums!$B$2:$B$406,B41,Albums!$H$2:$H$406,"yes",Albums!$J$2:$J$406,"&gt;0")</f>
        <v>6</v>
      </c>
      <c r="L41" s="5" t="n">
        <f aca="false">IF(G41=0,"",_xlfn.MINIFS(Albums!$E$2:$E$406,Albums!$B$2:$B$406,B41))</f>
        <v>1981</v>
      </c>
      <c r="M41" s="5" t="n">
        <f aca="false">IF(G41=0,"",_xlfn.MAXIFS(Albums!$E$2:$E$406,Albums!$B$2:$B$406,B41))</f>
        <v>2000</v>
      </c>
      <c r="N41" s="5" t="n">
        <f aca="false">IF(J41=0,"",_xlfn.MINIFS(Albums!$J$2:$J$406,Albums!$B$2:$B$406,B41,Albums!$J$2:$J$406,"&gt;0"))</f>
        <v>15</v>
      </c>
      <c r="O41" s="5" t="n">
        <f aca="false">IF(K41=0,"",_xlfn.MINIFS(Albums!$J$2:$J$406,Albums!$B$2:$B$406,B41,Albums!$H$2:$H$406,"yes",Albums!$J$2:$J$406,"&gt;0"))</f>
        <v>15</v>
      </c>
      <c r="P41" s="5" t="n">
        <f aca="false">COUNTIFS(Albums!$B$2:$B$406,B41,Albums!$H$2:$H$406,"yes",Albums!$J$2:$J$406,"&gt;0",Albums!$J$2:$J$406,"&lt;=40")</f>
        <v>3</v>
      </c>
      <c r="Q41" s="5" t="n">
        <f aca="false">COUNTIFS(Albums!$B$2:$B$406,B41,Albums!$M$2:$M$406,"&gt;0")</f>
        <v>5</v>
      </c>
      <c r="R41" s="5" t="n">
        <f aca="false">COUNTIFS(Albums!$B$2:$B$406,B41,Albums!$H$2:$H$406,"yes",Albums!$M$2:$M$406,"&gt;0")</f>
        <v>3</v>
      </c>
      <c r="S41" s="7" t="n">
        <f aca="false">SUMIFS(Albums!$M$2:$M$406,Albums!$B$2:$B$406,B41)</f>
        <v>3</v>
      </c>
      <c r="T41" s="7" t="n">
        <f aca="false">SUMIFS(Albums!$M$2:$M$406,Albums!$B$2:$B$406,B41,Albums!$H$2:$H$406,"yes")</f>
        <v>2</v>
      </c>
      <c r="U41" s="5" t="n">
        <f aca="false">COUNTIFS('Grammy nominations'!$A$2:$A$189,B41,'Grammy nominations'!$F$2:$F$189,"later")</f>
        <v>4</v>
      </c>
      <c r="V41" s="5" t="n">
        <f aca="false">COUNTIFS('Grammy nominations'!$A$2:$A$189,B41,'Grammy nominations'!$F$2:$F$189,"later",'Grammy nominations'!$E$2:$E$189,"won")</f>
        <v>1</v>
      </c>
      <c r="W41" s="5" t="n">
        <f aca="false">COUNTIFS('Grammy nominations'!$A$2:$A$189,B41,'Grammy nominations'!$F$2:$F$189,"same ceremony")</f>
        <v>1</v>
      </c>
      <c r="X41" s="5" t="n">
        <f aca="false">IF(G41=0,"",M41-L41+1-SUMIFS(Breaks!$H$2:$H$31,Breaks!$A$2:$A$31,B41))</f>
        <v>20</v>
      </c>
      <c r="Y41" s="5" t="n">
        <f aca="false">IF(G41=0,"",IF(M41&lt;E41,0,M41-MAX(L41,E41)+1-SUMIFS(Breaks!$H$2:$H$31,Breaks!$A$2:$A$31,B41,Breaks!$C$2:$C$31,"&gt;="&amp;E41)))</f>
        <v>19</v>
      </c>
      <c r="Z41" s="5"/>
    </row>
    <row r="42" customFormat="false" ht="15" hidden="false" customHeight="false" outlineLevel="0" collapsed="false">
      <c r="A42" s="5" t="s">
        <v>171</v>
      </c>
      <c r="B42" s="5" t="s">
        <v>172</v>
      </c>
      <c r="C42" s="5" t="s">
        <v>59</v>
      </c>
      <c r="D42" s="6" t="n">
        <v>31104</v>
      </c>
      <c r="E42" s="5" t="n">
        <f aca="false">YEAR(D42)</f>
        <v>1985</v>
      </c>
      <c r="F42" s="5" t="s">
        <v>52</v>
      </c>
      <c r="G42" s="5" t="n">
        <f aca="false">COUNTIFS(Albums!$B$2:$B$406,B42)</f>
        <v>10</v>
      </c>
      <c r="H42" s="5" t="n">
        <f aca="false">COUNTIFS(Albums!$B$2:$B$406,B42,Albums!$H$2:$H$406,"yes")</f>
        <v>9</v>
      </c>
      <c r="I42" s="5" t="n">
        <f aca="false">COUNTIFS(Albums!$B$2:$B$406,B42,Albums!$I$2:$I$406,"yes")</f>
        <v>4</v>
      </c>
      <c r="J42" s="5" t="n">
        <f aca="false">COUNTIFS(Albums!$B$2:$B$406,B42,Albums!$J$2:$J$406,"&gt;0")</f>
        <v>4</v>
      </c>
      <c r="K42" s="5" t="n">
        <f aca="false">COUNTIFS(Albums!$B$2:$B$406,B42,Albums!$H$2:$H$406,"yes",Albums!$J$2:$J$406,"&gt;0")</f>
        <v>3</v>
      </c>
      <c r="L42" s="5" t="n">
        <f aca="false">IF(G42=0,"",_xlfn.MINIFS(Albums!$E$2:$E$406,Albums!$B$2:$B$406,B42))</f>
        <v>1984</v>
      </c>
      <c r="M42" s="5" t="n">
        <f aca="false">IF(G42=0,"",_xlfn.MAXIFS(Albums!$E$2:$E$406,Albums!$B$2:$B$406,B42))</f>
        <v>2024</v>
      </c>
      <c r="N42" s="5" t="n">
        <f aca="false">IF(J42=0,"",_xlfn.MINIFS(Albums!$J$2:$J$406,Albums!$B$2:$B$406,B42,Albums!$J$2:$J$406,"&gt;0"))</f>
        <v>28</v>
      </c>
      <c r="O42" s="5" t="n">
        <f aca="false">IF(K42=0,"",_xlfn.MINIFS(Albums!$J$2:$J$406,Albums!$B$2:$B$406,B42,Albums!$H$2:$H$406,"yes",Albums!$J$2:$J$406,"&gt;0"))</f>
        <v>50</v>
      </c>
      <c r="P42" s="5" t="n">
        <f aca="false">COUNTIFS(Albums!$B$2:$B$406,B42,Albums!$H$2:$H$406,"yes",Albums!$J$2:$J$406,"&gt;0",Albums!$J$2:$J$406,"&lt;=40")</f>
        <v>0</v>
      </c>
      <c r="Q42" s="5" t="n">
        <f aca="false">COUNTIFS(Albums!$B$2:$B$406,B42,Albums!$M$2:$M$406,"&gt;0")</f>
        <v>2</v>
      </c>
      <c r="R42" s="5" t="n">
        <f aca="false">COUNTIFS(Albums!$B$2:$B$406,B42,Albums!$H$2:$H$406,"yes",Albums!$M$2:$M$406,"&gt;0")</f>
        <v>1</v>
      </c>
      <c r="S42" s="7" t="n">
        <f aca="false">SUMIFS(Albums!$M$2:$M$406,Albums!$B$2:$B$406,B42)</f>
        <v>1</v>
      </c>
      <c r="T42" s="7" t="n">
        <f aca="false">SUMIFS(Albums!$M$2:$M$406,Albums!$B$2:$B$406,B42,Albums!$H$2:$H$406,"yes")</f>
        <v>0.5</v>
      </c>
      <c r="U42" s="5" t="n">
        <f aca="false">COUNTIFS('Grammy nominations'!$A$2:$A$189,B42,'Grammy nominations'!$F$2:$F$189,"later")</f>
        <v>2</v>
      </c>
      <c r="V42" s="5" t="n">
        <f aca="false">COUNTIFS('Grammy nominations'!$A$2:$A$189,B42,'Grammy nominations'!$F$2:$F$189,"later",'Grammy nominations'!$E$2:$E$189,"won")</f>
        <v>1</v>
      </c>
      <c r="W42" s="5" t="n">
        <f aca="false">COUNTIFS('Grammy nominations'!$A$2:$A$189,B42,'Grammy nominations'!$F$2:$F$189,"same ceremony")</f>
        <v>3</v>
      </c>
      <c r="X42" s="5" t="n">
        <f aca="false">IF(G42=0,"",M42-L42+1-SUMIFS(Breaks!$H$2:$H$31,Breaks!$A$2:$A$31,B42))</f>
        <v>41</v>
      </c>
      <c r="Y42" s="5" t="n">
        <f aca="false">IF(G42=0,"",IF(M42&lt;E42,0,M42-MAX(L42,E42)+1-SUMIFS(Breaks!$H$2:$H$31,Breaks!$A$2:$A$31,B42,Breaks!$C$2:$C$31,"&gt;="&amp;E42)))</f>
        <v>40</v>
      </c>
      <c r="Z42" s="5" t="s">
        <v>173</v>
      </c>
    </row>
    <row r="43" customFormat="false" ht="15" hidden="false" customHeight="false" outlineLevel="0" collapsed="false">
      <c r="A43" s="5" t="s">
        <v>174</v>
      </c>
      <c r="B43" s="5" t="s">
        <v>175</v>
      </c>
      <c r="C43" s="5" t="s">
        <v>51</v>
      </c>
      <c r="D43" s="6" t="n">
        <v>31832</v>
      </c>
      <c r="E43" s="5" t="n">
        <f aca="false">YEAR(D43)</f>
        <v>1987</v>
      </c>
      <c r="F43" s="5" t="s">
        <v>52</v>
      </c>
      <c r="G43" s="5" t="n">
        <f aca="false">COUNTIFS(Albums!$B$2:$B$406,B43)</f>
        <v>12</v>
      </c>
      <c r="H43" s="5" t="n">
        <f aca="false">COUNTIFS(Albums!$B$2:$B$406,B43,Albums!$H$2:$H$406,"yes")</f>
        <v>11</v>
      </c>
      <c r="I43" s="5" t="n">
        <f aca="false">COUNTIFS(Albums!$B$2:$B$406,B43,Albums!$I$2:$I$406,"yes")</f>
        <v>8</v>
      </c>
      <c r="J43" s="5" t="n">
        <f aca="false">COUNTIFS(Albums!$B$2:$B$406,B43,Albums!$J$2:$J$406,"&gt;0")</f>
        <v>8</v>
      </c>
      <c r="K43" s="5" t="n">
        <f aca="false">COUNTIFS(Albums!$B$2:$B$406,B43,Albums!$H$2:$H$406,"yes",Albums!$J$2:$J$406,"&gt;0")</f>
        <v>7</v>
      </c>
      <c r="L43" s="5" t="n">
        <f aca="false">IF(G43=0,"",_xlfn.MINIFS(Albums!$E$2:$E$406,Albums!$B$2:$B$406,B43))</f>
        <v>1985</v>
      </c>
      <c r="M43" s="5" t="n">
        <f aca="false">IF(G43=0,"",_xlfn.MAXIFS(Albums!$E$2:$E$406,Albums!$B$2:$B$406,B43))</f>
        <v>2023</v>
      </c>
      <c r="N43" s="5" t="n">
        <f aca="false">IF(J43=0,"",_xlfn.MINIFS(Albums!$J$2:$J$406,Albums!$B$2:$B$406,B43,Albums!$J$2:$J$406,"&gt;0"))</f>
        <v>16</v>
      </c>
      <c r="O43" s="5" t="n">
        <f aca="false">IF(K43=0,"",_xlfn.MINIFS(Albums!$J$2:$J$406,Albums!$B$2:$B$406,B43,Albums!$H$2:$H$406,"yes",Albums!$J$2:$J$406,"&gt;0"))</f>
        <v>22</v>
      </c>
      <c r="P43" s="5" t="n">
        <f aca="false">COUNTIFS(Albums!$B$2:$B$406,B43,Albums!$H$2:$H$406,"yes",Albums!$J$2:$J$406,"&gt;0",Albums!$J$2:$J$406,"&lt;=40")</f>
        <v>2</v>
      </c>
      <c r="Q43" s="5" t="n">
        <f aca="false">COUNTIFS(Albums!$B$2:$B$406,B43,Albums!$M$2:$M$406,"&gt;0")</f>
        <v>3</v>
      </c>
      <c r="R43" s="5" t="n">
        <f aca="false">COUNTIFS(Albums!$B$2:$B$406,B43,Albums!$H$2:$H$406,"yes",Albums!$M$2:$M$406,"&gt;0")</f>
        <v>2</v>
      </c>
      <c r="S43" s="7" t="n">
        <f aca="false">SUMIFS(Albums!$M$2:$M$406,Albums!$B$2:$B$406,B43)</f>
        <v>2</v>
      </c>
      <c r="T43" s="7" t="n">
        <f aca="false">SUMIFS(Albums!$M$2:$M$406,Albums!$B$2:$B$406,B43,Albums!$H$2:$H$406,"yes")</f>
        <v>1</v>
      </c>
      <c r="U43" s="5" t="n">
        <f aca="false">COUNTIFS('Grammy nominations'!$A$2:$A$189,B43,'Grammy nominations'!$F$2:$F$189,"later")</f>
        <v>1</v>
      </c>
      <c r="V43" s="5" t="n">
        <f aca="false">COUNTIFS('Grammy nominations'!$A$2:$A$189,B43,'Grammy nominations'!$F$2:$F$189,"later",'Grammy nominations'!$E$2:$E$189,"won")</f>
        <v>0</v>
      </c>
      <c r="W43" s="5" t="n">
        <f aca="false">COUNTIFS('Grammy nominations'!$A$2:$A$189,B43,'Grammy nominations'!$F$2:$F$189,"same ceremony")</f>
        <v>1</v>
      </c>
      <c r="X43" s="5" t="n">
        <f aca="false">IF(G43=0,"",M43-L43+1-SUMIFS(Breaks!$H$2:$H$31,Breaks!$A$2:$A$31,B43))</f>
        <v>32</v>
      </c>
      <c r="Y43" s="5" t="n">
        <f aca="false">IF(G43=0,"",IF(M43&lt;E43,0,M43-MAX(L43,E43)+1-SUMIFS(Breaks!$H$2:$H$31,Breaks!$A$2:$A$31,B43,Breaks!$C$2:$C$31,"&gt;="&amp;E43)))</f>
        <v>30</v>
      </c>
      <c r="Z43" s="5" t="s">
        <v>176</v>
      </c>
    </row>
    <row r="44" customFormat="false" ht="15" hidden="false" customHeight="false" outlineLevel="0" collapsed="false">
      <c r="A44" s="5" t="s">
        <v>177</v>
      </c>
      <c r="B44" s="5" t="s">
        <v>178</v>
      </c>
      <c r="C44" s="5" t="s">
        <v>51</v>
      </c>
      <c r="D44" s="6" t="n">
        <v>32925</v>
      </c>
      <c r="E44" s="5" t="n">
        <f aca="false">YEAR(D44)</f>
        <v>1990</v>
      </c>
      <c r="F44" s="5" t="s">
        <v>52</v>
      </c>
      <c r="G44" s="5" t="n">
        <f aca="false">COUNTIFS(Albums!$B$2:$B$406,B44)</f>
        <v>5</v>
      </c>
      <c r="H44" s="5" t="n">
        <f aca="false">COUNTIFS(Albums!$B$2:$B$406,B44,Albums!$H$2:$H$406,"yes")</f>
        <v>4</v>
      </c>
      <c r="I44" s="5" t="n">
        <f aca="false">COUNTIFS(Albums!$B$2:$B$406,B44,Albums!$I$2:$I$406,"yes")</f>
        <v>4</v>
      </c>
      <c r="J44" s="5" t="n">
        <f aca="false">COUNTIFS(Albums!$B$2:$B$406,B44,Albums!$J$2:$J$406,"&gt;0")</f>
        <v>3</v>
      </c>
      <c r="K44" s="5" t="n">
        <f aca="false">COUNTIFS(Albums!$B$2:$B$406,B44,Albums!$H$2:$H$406,"yes",Albums!$J$2:$J$406,"&gt;0")</f>
        <v>2</v>
      </c>
      <c r="L44" s="5" t="n">
        <f aca="false">IF(G44=0,"",_xlfn.MINIFS(Albums!$E$2:$E$406,Albums!$B$2:$B$406,B44))</f>
        <v>1989</v>
      </c>
      <c r="M44" s="5" t="n">
        <f aca="false">IF(G44=0,"",_xlfn.MAXIFS(Albums!$E$2:$E$406,Albums!$B$2:$B$406,B44))</f>
        <v>1997</v>
      </c>
      <c r="N44" s="5" t="n">
        <f aca="false">IF(J44=0,"",_xlfn.MINIFS(Albums!$J$2:$J$406,Albums!$B$2:$B$406,B44,Albums!$J$2:$J$406,"&gt;0"))</f>
        <v>14</v>
      </c>
      <c r="O44" s="5" t="n">
        <f aca="false">IF(K44=0,"",_xlfn.MINIFS(Albums!$J$2:$J$406,Albums!$B$2:$B$406,B44,Albums!$H$2:$H$406,"yes",Albums!$J$2:$J$406,"&gt;0"))</f>
        <v>21</v>
      </c>
      <c r="P44" s="5" t="n">
        <f aca="false">COUNTIFS(Albums!$B$2:$B$406,B44,Albums!$H$2:$H$406,"yes",Albums!$J$2:$J$406,"&gt;0",Albums!$J$2:$J$406,"&lt;=40")</f>
        <v>1</v>
      </c>
      <c r="Q44" s="5" t="n">
        <f aca="false">COUNTIFS(Albums!$B$2:$B$406,B44,Albums!$M$2:$M$406,"&gt;0")</f>
        <v>2</v>
      </c>
      <c r="R44" s="5" t="n">
        <f aca="false">COUNTIFS(Albums!$B$2:$B$406,B44,Albums!$H$2:$H$406,"yes",Albums!$M$2:$M$406,"&gt;0")</f>
        <v>1</v>
      </c>
      <c r="S44" s="7" t="n">
        <f aca="false">SUMIFS(Albums!$M$2:$M$406,Albums!$B$2:$B$406,B44)</f>
        <v>2.5</v>
      </c>
      <c r="T44" s="7" t="n">
        <f aca="false">SUMIFS(Albums!$M$2:$M$406,Albums!$B$2:$B$406,B44,Albums!$H$2:$H$406,"yes")</f>
        <v>0.5</v>
      </c>
      <c r="U44" s="5" t="n">
        <f aca="false">COUNTIFS('Grammy nominations'!$A$2:$A$189,B44,'Grammy nominations'!$F$2:$F$189,"later")</f>
        <v>1</v>
      </c>
      <c r="V44" s="5" t="n">
        <f aca="false">COUNTIFS('Grammy nominations'!$A$2:$A$189,B44,'Grammy nominations'!$F$2:$F$189,"later",'Grammy nominations'!$E$2:$E$189,"won")</f>
        <v>0</v>
      </c>
      <c r="W44" s="5" t="n">
        <f aca="false">COUNTIFS('Grammy nominations'!$A$2:$A$189,B44,'Grammy nominations'!$F$2:$F$189,"same ceremony")</f>
        <v>2</v>
      </c>
      <c r="X44" s="5" t="n">
        <f aca="false">IF(G44=0,"",M44-L44+1-SUMIFS(Breaks!$H$2:$H$31,Breaks!$A$2:$A$31,B44))</f>
        <v>9</v>
      </c>
      <c r="Y44" s="5" t="n">
        <f aca="false">IF(G44=0,"",IF(M44&lt;E44,0,M44-MAX(L44,E44)+1-SUMIFS(Breaks!$H$2:$H$31,Breaks!$A$2:$A$31,B44,Breaks!$C$2:$C$31,"&gt;="&amp;E44)))</f>
        <v>8</v>
      </c>
      <c r="Z44" s="5" t="s">
        <v>179</v>
      </c>
    </row>
    <row r="45" customFormat="false" ht="15" hidden="false" customHeight="false" outlineLevel="0" collapsed="false">
      <c r="A45" s="5" t="s">
        <v>180</v>
      </c>
      <c r="B45" s="5" t="s">
        <v>181</v>
      </c>
      <c r="C45" s="5" t="s">
        <v>51</v>
      </c>
      <c r="D45" s="6" t="n">
        <v>30370</v>
      </c>
      <c r="E45" s="5" t="n">
        <f aca="false">YEAR(D45)</f>
        <v>1983</v>
      </c>
      <c r="F45" s="5" t="s">
        <v>52</v>
      </c>
      <c r="G45" s="5" t="n">
        <f aca="false">COUNTIFS(Albums!$B$2:$B$406,B45)</f>
        <v>9</v>
      </c>
      <c r="H45" s="5" t="n">
        <f aca="false">COUNTIFS(Albums!$B$2:$B$406,B45,Albums!$H$2:$H$406,"yes")</f>
        <v>7</v>
      </c>
      <c r="I45" s="5" t="n">
        <f aca="false">COUNTIFS(Albums!$B$2:$B$406,B45,Albums!$I$2:$I$406,"yes")</f>
        <v>5</v>
      </c>
      <c r="J45" s="5" t="n">
        <f aca="false">COUNTIFS(Albums!$B$2:$B$406,B45,Albums!$J$2:$J$406,"&gt;0")</f>
        <v>4</v>
      </c>
      <c r="K45" s="5" t="n">
        <f aca="false">COUNTIFS(Albums!$B$2:$B$406,B45,Albums!$H$2:$H$406,"yes",Albums!$J$2:$J$406,"&gt;0")</f>
        <v>4</v>
      </c>
      <c r="L45" s="5" t="n">
        <f aca="false">IF(G45=0,"",_xlfn.MINIFS(Albums!$E$2:$E$406,Albums!$B$2:$B$406,B45))</f>
        <v>1981</v>
      </c>
      <c r="M45" s="5" t="n">
        <f aca="false">IF(G45=0,"",_xlfn.MAXIFS(Albums!$E$2:$E$406,Albums!$B$2:$B$406,B45))</f>
        <v>2019</v>
      </c>
      <c r="N45" s="5" t="n">
        <f aca="false">IF(J45=0,"",_xlfn.MINIFS(Albums!$J$2:$J$406,Albums!$B$2:$B$406,B45,Albums!$J$2:$J$406,"&gt;0"))</f>
        <v>14</v>
      </c>
      <c r="O45" s="5" t="n">
        <f aca="false">IF(K45=0,"",_xlfn.MINIFS(Albums!$J$2:$J$406,Albums!$B$2:$B$406,B45,Albums!$H$2:$H$406,"yes",Albums!$J$2:$J$406,"&gt;0"))</f>
        <v>14</v>
      </c>
      <c r="P45" s="5" t="n">
        <f aca="false">COUNTIFS(Albums!$B$2:$B$406,B45,Albums!$H$2:$H$406,"yes",Albums!$J$2:$J$406,"&gt;0",Albums!$J$2:$J$406,"&lt;=40")</f>
        <v>1</v>
      </c>
      <c r="Q45" s="5" t="n">
        <f aca="false">COUNTIFS(Albums!$B$2:$B$406,B45,Albums!$M$2:$M$406,"&gt;0")</f>
        <v>1</v>
      </c>
      <c r="R45" s="5" t="n">
        <f aca="false">COUNTIFS(Albums!$B$2:$B$406,B45,Albums!$H$2:$H$406,"yes",Albums!$M$2:$M$406,"&gt;0")</f>
        <v>1</v>
      </c>
      <c r="S45" s="7" t="n">
        <f aca="false">SUMIFS(Albums!$M$2:$M$406,Albums!$B$2:$B$406,B45)</f>
        <v>0.5</v>
      </c>
      <c r="T45" s="7" t="n">
        <f aca="false">SUMIFS(Albums!$M$2:$M$406,Albums!$B$2:$B$406,B45,Albums!$H$2:$H$406,"yes")</f>
        <v>0.5</v>
      </c>
      <c r="U45" s="5" t="n">
        <f aca="false">COUNTIFS('Grammy nominations'!$A$2:$A$189,B45,'Grammy nominations'!$F$2:$F$189,"later")</f>
        <v>0</v>
      </c>
      <c r="V45" s="5" t="n">
        <f aca="false">COUNTIFS('Grammy nominations'!$A$2:$A$189,B45,'Grammy nominations'!$F$2:$F$189,"later",'Grammy nominations'!$E$2:$E$189,"won")</f>
        <v>0</v>
      </c>
      <c r="W45" s="5" t="n">
        <f aca="false">COUNTIFS('Grammy nominations'!$A$2:$A$189,B45,'Grammy nominations'!$F$2:$F$189,"same ceremony")</f>
        <v>0</v>
      </c>
      <c r="X45" s="5" t="n">
        <f aca="false">IF(G45=0,"",M45-L45+1-SUMIFS(Breaks!$H$2:$H$31,Breaks!$A$2:$A$31,B45))</f>
        <v>15</v>
      </c>
      <c r="Y45" s="5" t="n">
        <f aca="false">IF(G45=0,"",IF(M45&lt;E45,0,M45-MAX(L45,E45)+1-SUMIFS(Breaks!$H$2:$H$31,Breaks!$A$2:$A$31,B45,Breaks!$C$2:$C$31,"&gt;="&amp;E45)))</f>
        <v>13</v>
      </c>
      <c r="Z45" s="5" t="s">
        <v>182</v>
      </c>
    </row>
    <row r="46" customFormat="false" ht="15" hidden="false" customHeight="false" outlineLevel="0" collapsed="false">
      <c r="A46" s="5" t="s">
        <v>183</v>
      </c>
      <c r="B46" s="5" t="s">
        <v>184</v>
      </c>
      <c r="C46" s="5" t="s">
        <v>51</v>
      </c>
      <c r="D46" s="6" t="n">
        <v>32204</v>
      </c>
      <c r="E46" s="5" t="n">
        <f aca="false">YEAR(D46)</f>
        <v>1988</v>
      </c>
      <c r="F46" s="5" t="s">
        <v>52</v>
      </c>
      <c r="G46" s="5" t="n">
        <f aca="false">COUNTIFS(Albums!$B$2:$B$406,B46)</f>
        <v>10</v>
      </c>
      <c r="H46" s="5" t="n">
        <f aca="false">COUNTIFS(Albums!$B$2:$B$406,B46,Albums!$H$2:$H$406,"yes")</f>
        <v>9</v>
      </c>
      <c r="I46" s="5" t="n">
        <f aca="false">COUNTIFS(Albums!$B$2:$B$406,B46,Albums!$I$2:$I$406,"yes")</f>
        <v>7</v>
      </c>
      <c r="J46" s="5" t="n">
        <f aca="false">COUNTIFS(Albums!$B$2:$B$406,B46,Albums!$J$2:$J$406,"&gt;0")</f>
        <v>3</v>
      </c>
      <c r="K46" s="5" t="n">
        <f aca="false">COUNTIFS(Albums!$B$2:$B$406,B46,Albums!$H$2:$H$406,"yes",Albums!$J$2:$J$406,"&gt;0")</f>
        <v>2</v>
      </c>
      <c r="L46" s="5" t="n">
        <f aca="false">IF(G46=0,"",_xlfn.MINIFS(Albums!$E$2:$E$406,Albums!$B$2:$B$406,B46))</f>
        <v>1987</v>
      </c>
      <c r="M46" s="5" t="n">
        <f aca="false">IF(G46=0,"",_xlfn.MAXIFS(Albums!$E$2:$E$406,Albums!$B$2:$B$406,B46))</f>
        <v>2017</v>
      </c>
      <c r="N46" s="5" t="n">
        <f aca="false">IF(J46=0,"",_xlfn.MINIFS(Albums!$J$2:$J$406,Albums!$B$2:$B$406,B46,Albums!$J$2:$J$406,"&gt;0"))</f>
        <v>40</v>
      </c>
      <c r="O46" s="5" t="n">
        <f aca="false">IF(K46=0,"",_xlfn.MINIFS(Albums!$J$2:$J$406,Albums!$B$2:$B$406,B46,Albums!$H$2:$H$406,"yes",Albums!$J$2:$J$406,"&gt;0"))</f>
        <v>61</v>
      </c>
      <c r="P46" s="5" t="n">
        <f aca="false">COUNTIFS(Albums!$B$2:$B$406,B46,Albums!$H$2:$H$406,"yes",Albums!$J$2:$J$406,"&gt;0",Albums!$J$2:$J$406,"&lt;=40")</f>
        <v>0</v>
      </c>
      <c r="Q46" s="5" t="n">
        <f aca="false">COUNTIFS(Albums!$B$2:$B$406,B46,Albums!$M$2:$M$406,"&gt;0")</f>
        <v>0</v>
      </c>
      <c r="R46" s="5" t="n">
        <f aca="false">COUNTIFS(Albums!$B$2:$B$406,B46,Albums!$H$2:$H$406,"yes",Albums!$M$2:$M$406,"&gt;0")</f>
        <v>0</v>
      </c>
      <c r="S46" s="7" t="n">
        <f aca="false">SUMIFS(Albums!$M$2:$M$406,Albums!$B$2:$B$406,B46)</f>
        <v>0</v>
      </c>
      <c r="T46" s="7" t="n">
        <f aca="false">SUMIFS(Albums!$M$2:$M$406,Albums!$B$2:$B$406,B46,Albums!$H$2:$H$406,"yes")</f>
        <v>0</v>
      </c>
      <c r="U46" s="5" t="n">
        <f aca="false">COUNTIFS('Grammy nominations'!$A$2:$A$189,B46,'Grammy nominations'!$F$2:$F$189,"later")</f>
        <v>0</v>
      </c>
      <c r="V46" s="5" t="n">
        <f aca="false">COUNTIFS('Grammy nominations'!$A$2:$A$189,B46,'Grammy nominations'!$F$2:$F$189,"later",'Grammy nominations'!$E$2:$E$189,"won")</f>
        <v>0</v>
      </c>
      <c r="W46" s="5" t="n">
        <f aca="false">COUNTIFS('Grammy nominations'!$A$2:$A$189,B46,'Grammy nominations'!$F$2:$F$189,"same ceremony")</f>
        <v>1</v>
      </c>
      <c r="X46" s="5" t="n">
        <f aca="false">IF(G46=0,"",M46-L46+1-SUMIFS(Breaks!$H$2:$H$31,Breaks!$A$2:$A$31,B46))</f>
        <v>31</v>
      </c>
      <c r="Y46" s="5" t="n">
        <f aca="false">IF(G46=0,"",IF(M46&lt;E46,0,M46-MAX(L46,E46)+1-SUMIFS(Breaks!$H$2:$H$31,Breaks!$A$2:$A$31,B46,Breaks!$C$2:$C$31,"&gt;="&amp;E46)))</f>
        <v>30</v>
      </c>
      <c r="Z46" s="5"/>
    </row>
    <row r="47" customFormat="false" ht="15" hidden="false" customHeight="false" outlineLevel="0" collapsed="false">
      <c r="A47" s="5" t="s">
        <v>185</v>
      </c>
      <c r="B47" s="5" t="s">
        <v>186</v>
      </c>
      <c r="C47" s="5" t="s">
        <v>51</v>
      </c>
      <c r="D47" s="6" t="n">
        <v>32561</v>
      </c>
      <c r="E47" s="5" t="n">
        <f aca="false">YEAR(D47)</f>
        <v>1989</v>
      </c>
      <c r="F47" s="5" t="s">
        <v>52</v>
      </c>
      <c r="G47" s="5" t="n">
        <f aca="false">COUNTIFS(Albums!$B$2:$B$406,B47)</f>
        <v>14</v>
      </c>
      <c r="H47" s="5" t="n">
        <f aca="false">COUNTIFS(Albums!$B$2:$B$406,B47,Albums!$H$2:$H$406,"yes")</f>
        <v>13</v>
      </c>
      <c r="I47" s="5" t="n">
        <f aca="false">COUNTIFS(Albums!$B$2:$B$406,B47,Albums!$I$2:$I$406,"yes")</f>
        <v>13</v>
      </c>
      <c r="J47" s="5" t="n">
        <f aca="false">COUNTIFS(Albums!$B$2:$B$406,B47,Albums!$J$2:$J$406,"&gt;0")</f>
        <v>4</v>
      </c>
      <c r="K47" s="5" t="n">
        <f aca="false">COUNTIFS(Albums!$B$2:$B$406,B47,Albums!$H$2:$H$406,"yes",Albums!$J$2:$J$406,"&gt;0")</f>
        <v>3</v>
      </c>
      <c r="L47" s="5" t="n">
        <f aca="false">IF(G47=0,"",_xlfn.MINIFS(Albums!$E$2:$E$406,Albums!$B$2:$B$406,B47))</f>
        <v>1988</v>
      </c>
      <c r="M47" s="5" t="n">
        <f aca="false">IF(G47=0,"",_xlfn.MAXIFS(Albums!$E$2:$E$406,Albums!$B$2:$B$406,B47))</f>
        <v>2018</v>
      </c>
      <c r="N47" s="5" t="n">
        <f aca="false">IF(J47=0,"",_xlfn.MINIFS(Albums!$J$2:$J$406,Albums!$B$2:$B$406,B47,Albums!$J$2:$J$406,"&gt;0"))</f>
        <v>71</v>
      </c>
      <c r="O47" s="5" t="n">
        <f aca="false">IF(K47=0,"",_xlfn.MINIFS(Albums!$J$2:$J$406,Albums!$B$2:$B$406,B47,Albums!$H$2:$H$406,"yes",Albums!$J$2:$J$406,"&gt;0"))</f>
        <v>72</v>
      </c>
      <c r="P47" s="5" t="n">
        <f aca="false">COUNTIFS(Albums!$B$2:$B$406,B47,Albums!$H$2:$H$406,"yes",Albums!$J$2:$J$406,"&gt;0",Albums!$J$2:$J$406,"&lt;=40")</f>
        <v>0</v>
      </c>
      <c r="Q47" s="5" t="n">
        <f aca="false">COUNTIFS(Albums!$B$2:$B$406,B47,Albums!$M$2:$M$406,"&gt;0")</f>
        <v>2</v>
      </c>
      <c r="R47" s="5" t="n">
        <f aca="false">COUNTIFS(Albums!$B$2:$B$406,B47,Albums!$H$2:$H$406,"yes",Albums!$M$2:$M$406,"&gt;0")</f>
        <v>1</v>
      </c>
      <c r="S47" s="7" t="n">
        <f aca="false">SUMIFS(Albums!$M$2:$M$406,Albums!$B$2:$B$406,B47)</f>
        <v>1.5</v>
      </c>
      <c r="T47" s="7" t="n">
        <f aca="false">SUMIFS(Albums!$M$2:$M$406,Albums!$B$2:$B$406,B47,Albums!$H$2:$H$406,"yes")</f>
        <v>0.5</v>
      </c>
      <c r="U47" s="5" t="n">
        <f aca="false">COUNTIFS('Grammy nominations'!$A$2:$A$189,B47,'Grammy nominations'!$F$2:$F$189,"later")</f>
        <v>16</v>
      </c>
      <c r="V47" s="5" t="n">
        <f aca="false">COUNTIFS('Grammy nominations'!$A$2:$A$189,B47,'Grammy nominations'!$F$2:$F$189,"later",'Grammy nominations'!$E$2:$E$189,"won")</f>
        <v>6</v>
      </c>
      <c r="W47" s="5" t="n">
        <f aca="false">COUNTIFS('Grammy nominations'!$A$2:$A$189,B47,'Grammy nominations'!$F$2:$F$189,"same ceremony")</f>
        <v>2</v>
      </c>
      <c r="X47" s="5" t="n">
        <f aca="false">IF(G47=0,"",M47-L47+1-SUMIFS(Breaks!$H$2:$H$31,Breaks!$A$2:$A$31,B47))</f>
        <v>31</v>
      </c>
      <c r="Y47" s="5" t="n">
        <f aca="false">IF(G47=0,"",IF(M47&lt;E47,0,M47-MAX(L47,E47)+1-SUMIFS(Breaks!$H$2:$H$31,Breaks!$A$2:$A$31,B47,Breaks!$C$2:$C$31,"&gt;="&amp;E47)))</f>
        <v>30</v>
      </c>
      <c r="Z47" s="5" t="s">
        <v>187</v>
      </c>
    </row>
    <row r="48" customFormat="false" ht="15" hidden="false" customHeight="false" outlineLevel="0" collapsed="false">
      <c r="A48" s="5" t="s">
        <v>188</v>
      </c>
      <c r="B48" s="5" t="s">
        <v>189</v>
      </c>
      <c r="C48" s="5" t="s">
        <v>59</v>
      </c>
      <c r="D48" s="6" t="n">
        <v>32204</v>
      </c>
      <c r="E48" s="5" t="n">
        <f aca="false">YEAR(D48)</f>
        <v>1988</v>
      </c>
      <c r="F48" s="5" t="s">
        <v>52</v>
      </c>
      <c r="G48" s="5" t="n">
        <f aca="false">COUNTIFS(Albums!$B$2:$B$406,B48)</f>
        <v>14</v>
      </c>
      <c r="H48" s="5" t="n">
        <f aca="false">COUNTIFS(Albums!$B$2:$B$406,B48,Albums!$H$2:$H$406,"yes")</f>
        <v>13</v>
      </c>
      <c r="I48" s="5" t="n">
        <f aca="false">COUNTIFS(Albums!$B$2:$B$406,B48,Albums!$I$2:$I$406,"yes")</f>
        <v>4</v>
      </c>
      <c r="J48" s="5" t="n">
        <f aca="false">COUNTIFS(Albums!$B$2:$B$406,B48,Albums!$J$2:$J$406,"&gt;0")</f>
        <v>4</v>
      </c>
      <c r="K48" s="5" t="n">
        <f aca="false">COUNTIFS(Albums!$B$2:$B$406,B48,Albums!$H$2:$H$406,"yes",Albums!$J$2:$J$406,"&gt;0")</f>
        <v>3</v>
      </c>
      <c r="L48" s="5" t="n">
        <f aca="false">IF(G48=0,"",_xlfn.MINIFS(Albums!$E$2:$E$406,Albums!$B$2:$B$406,B48))</f>
        <v>1987</v>
      </c>
      <c r="M48" s="5" t="n">
        <f aca="false">IF(G48=0,"",_xlfn.MAXIFS(Albums!$E$2:$E$406,Albums!$B$2:$B$406,B48))</f>
        <v>2024</v>
      </c>
      <c r="N48" s="5" t="n">
        <f aca="false">IF(J48=0,"",_xlfn.MINIFS(Albums!$J$2:$J$406,Albums!$B$2:$B$406,B48,Albums!$J$2:$J$406,"&gt;0"))</f>
        <v>4</v>
      </c>
      <c r="O48" s="5" t="n">
        <f aca="false">IF(K48=0,"",_xlfn.MINIFS(Albums!$J$2:$J$406,Albums!$B$2:$B$406,B48,Albums!$H$2:$H$406,"yes",Albums!$J$2:$J$406,"&gt;0"))</f>
        <v>61</v>
      </c>
      <c r="P48" s="5" t="n">
        <f aca="false">COUNTIFS(Albums!$B$2:$B$406,B48,Albums!$H$2:$H$406,"yes",Albums!$J$2:$J$406,"&gt;0",Albums!$J$2:$J$406,"&lt;=40")</f>
        <v>0</v>
      </c>
      <c r="Q48" s="5" t="n">
        <f aca="false">COUNTIFS(Albums!$B$2:$B$406,B48,Albums!$M$2:$M$406,"&gt;0")</f>
        <v>1</v>
      </c>
      <c r="R48" s="5" t="n">
        <f aca="false">COUNTIFS(Albums!$B$2:$B$406,B48,Albums!$H$2:$H$406,"yes",Albums!$M$2:$M$406,"&gt;0")</f>
        <v>0</v>
      </c>
      <c r="S48" s="7" t="n">
        <f aca="false">SUMIFS(Albums!$M$2:$M$406,Albums!$B$2:$B$406,B48)</f>
        <v>2</v>
      </c>
      <c r="T48" s="7" t="n">
        <f aca="false">SUMIFS(Albums!$M$2:$M$406,Albums!$B$2:$B$406,B48,Albums!$H$2:$H$406,"yes")</f>
        <v>0</v>
      </c>
      <c r="U48" s="5" t="n">
        <f aca="false">COUNTIFS('Grammy nominations'!$A$2:$A$189,B48,'Grammy nominations'!$F$2:$F$189,"later")</f>
        <v>2</v>
      </c>
      <c r="V48" s="5" t="n">
        <f aca="false">COUNTIFS('Grammy nominations'!$A$2:$A$189,B48,'Grammy nominations'!$F$2:$F$189,"later",'Grammy nominations'!$E$2:$E$189,"won")</f>
        <v>1</v>
      </c>
      <c r="W48" s="5" t="n">
        <f aca="false">COUNTIFS('Grammy nominations'!$A$2:$A$189,B48,'Grammy nominations'!$F$2:$F$189,"same ceremony")</f>
        <v>0</v>
      </c>
      <c r="X48" s="5" t="n">
        <f aca="false">IF(G48=0,"",M48-L48+1-SUMIFS(Breaks!$H$2:$H$31,Breaks!$A$2:$A$31,B48))</f>
        <v>38</v>
      </c>
      <c r="Y48" s="5" t="n">
        <f aca="false">IF(G48=0,"",IF(M48&lt;E48,0,M48-MAX(L48,E48)+1-SUMIFS(Breaks!$H$2:$H$31,Breaks!$A$2:$A$31,B48,Breaks!$C$2:$C$31,"&gt;="&amp;E48)))</f>
        <v>37</v>
      </c>
      <c r="Z48" s="5" t="s">
        <v>190</v>
      </c>
    </row>
    <row r="49" customFormat="false" ht="15" hidden="false" customHeight="false" outlineLevel="0" collapsed="false">
      <c r="A49" s="5" t="s">
        <v>191</v>
      </c>
      <c r="B49" s="5" t="s">
        <v>192</v>
      </c>
      <c r="C49" s="5" t="s">
        <v>51</v>
      </c>
      <c r="D49" s="6" t="n">
        <v>31832</v>
      </c>
      <c r="E49" s="5" t="n">
        <f aca="false">YEAR(D49)</f>
        <v>1987</v>
      </c>
      <c r="F49" s="5" t="s">
        <v>52</v>
      </c>
      <c r="G49" s="5" t="n">
        <f aca="false">COUNTIFS(Albums!$B$2:$B$406,B49)</f>
        <v>5</v>
      </c>
      <c r="H49" s="5" t="n">
        <f aca="false">COUNTIFS(Albums!$B$2:$B$406,B49,Albums!$H$2:$H$406,"yes")</f>
        <v>4</v>
      </c>
      <c r="I49" s="5" t="n">
        <f aca="false">COUNTIFS(Albums!$B$2:$B$406,B49,Albums!$I$2:$I$406,"yes")</f>
        <v>2</v>
      </c>
      <c r="J49" s="5" t="n">
        <f aca="false">COUNTIFS(Albums!$B$2:$B$406,B49,Albums!$J$2:$J$406,"&gt;0")</f>
        <v>2</v>
      </c>
      <c r="K49" s="5" t="n">
        <f aca="false">COUNTIFS(Albums!$B$2:$B$406,B49,Albums!$H$2:$H$406,"yes",Albums!$J$2:$J$406,"&gt;0")</f>
        <v>1</v>
      </c>
      <c r="L49" s="5" t="n">
        <f aca="false">IF(G49=0,"",_xlfn.MINIFS(Albums!$E$2:$E$406,Albums!$B$2:$B$406,B49))</f>
        <v>1986</v>
      </c>
      <c r="M49" s="5" t="n">
        <f aca="false">IF(G49=0,"",_xlfn.MAXIFS(Albums!$E$2:$E$406,Albums!$B$2:$B$406,B49))</f>
        <v>1995</v>
      </c>
      <c r="N49" s="5" t="n">
        <f aca="false">IF(J49=0,"",_xlfn.MINIFS(Albums!$J$2:$J$406,Albums!$B$2:$B$406,B49,Albums!$J$2:$J$406,"&gt;0"))</f>
        <v>50</v>
      </c>
      <c r="O49" s="5" t="n">
        <f aca="false">IF(K49=0,"",_xlfn.MINIFS(Albums!$J$2:$J$406,Albums!$B$2:$B$406,B49,Albums!$H$2:$H$406,"yes",Albums!$J$2:$J$406,"&gt;0"))</f>
        <v>107</v>
      </c>
      <c r="P49" s="5" t="n">
        <f aca="false">COUNTIFS(Albums!$B$2:$B$406,B49,Albums!$H$2:$H$406,"yes",Albums!$J$2:$J$406,"&gt;0",Albums!$J$2:$J$406,"&lt;=40")</f>
        <v>0</v>
      </c>
      <c r="Q49" s="5" t="n">
        <f aca="false">COUNTIFS(Albums!$B$2:$B$406,B49,Albums!$M$2:$M$406,"&gt;0")</f>
        <v>0</v>
      </c>
      <c r="R49" s="5" t="n">
        <f aca="false">COUNTIFS(Albums!$B$2:$B$406,B49,Albums!$H$2:$H$406,"yes",Albums!$M$2:$M$406,"&gt;0")</f>
        <v>0</v>
      </c>
      <c r="S49" s="7" t="n">
        <f aca="false">SUMIFS(Albums!$M$2:$M$406,Albums!$B$2:$B$406,B49)</f>
        <v>0</v>
      </c>
      <c r="T49" s="7" t="n">
        <f aca="false">SUMIFS(Albums!$M$2:$M$406,Albums!$B$2:$B$406,B49,Albums!$H$2:$H$406,"yes")</f>
        <v>0</v>
      </c>
      <c r="U49" s="5" t="n">
        <f aca="false">COUNTIFS('Grammy nominations'!$A$2:$A$189,B49,'Grammy nominations'!$F$2:$F$189,"later")</f>
        <v>0</v>
      </c>
      <c r="V49" s="5" t="n">
        <f aca="false">COUNTIFS('Grammy nominations'!$A$2:$A$189,B49,'Grammy nominations'!$F$2:$F$189,"later",'Grammy nominations'!$E$2:$E$189,"won")</f>
        <v>0</v>
      </c>
      <c r="W49" s="5" t="n">
        <f aca="false">COUNTIFS('Grammy nominations'!$A$2:$A$189,B49,'Grammy nominations'!$F$2:$F$189,"same ceremony")</f>
        <v>0</v>
      </c>
      <c r="X49" s="5" t="n">
        <f aca="false">IF(G49=0,"",M49-L49+1-SUMIFS(Breaks!$H$2:$H$31,Breaks!$A$2:$A$31,B49))</f>
        <v>10</v>
      </c>
      <c r="Y49" s="5" t="n">
        <f aca="false">IF(G49=0,"",IF(M49&lt;E49,0,M49-MAX(L49,E49)+1-SUMIFS(Breaks!$H$2:$H$31,Breaks!$A$2:$A$31,B49,Breaks!$C$2:$C$31,"&gt;="&amp;E49)))</f>
        <v>9</v>
      </c>
      <c r="Z49" s="5" t="s">
        <v>193</v>
      </c>
    </row>
    <row r="50" customFormat="false" ht="15" hidden="false" customHeight="false" outlineLevel="0" collapsed="false">
      <c r="A50" s="5" t="s">
        <v>194</v>
      </c>
      <c r="B50" s="5" t="s">
        <v>195</v>
      </c>
      <c r="C50" s="5" t="s">
        <v>59</v>
      </c>
      <c r="D50" s="6" t="n">
        <v>32925</v>
      </c>
      <c r="E50" s="5" t="n">
        <f aca="false">YEAR(D50)</f>
        <v>1990</v>
      </c>
      <c r="F50" s="5" t="s">
        <v>52</v>
      </c>
      <c r="G50" s="5" t="n">
        <f aca="false">COUNTIFS(Albums!$B$2:$B$406,B50)</f>
        <v>2</v>
      </c>
      <c r="H50" s="5" t="n">
        <f aca="false">COUNTIFS(Albums!$B$2:$B$406,B50,Albums!$H$2:$H$406,"yes")</f>
        <v>1</v>
      </c>
      <c r="I50" s="5" t="n">
        <f aca="false">COUNTIFS(Albums!$B$2:$B$406,B50,Albums!$I$2:$I$406,"yes")</f>
        <v>2</v>
      </c>
      <c r="J50" s="5" t="n">
        <f aca="false">COUNTIFS(Albums!$B$2:$B$406,B50,Albums!$J$2:$J$406,"&gt;0")</f>
        <v>1</v>
      </c>
      <c r="K50" s="5" t="n">
        <f aca="false">COUNTIFS(Albums!$B$2:$B$406,B50,Albums!$H$2:$H$406,"yes",Albums!$J$2:$J$406,"&gt;0")</f>
        <v>0</v>
      </c>
      <c r="L50" s="5" t="n">
        <f aca="false">IF(G50=0,"",_xlfn.MINIFS(Albums!$E$2:$E$406,Albums!$B$2:$B$406,B50))</f>
        <v>1989</v>
      </c>
      <c r="M50" s="5" t="n">
        <f aca="false">IF(G50=0,"",_xlfn.MAXIFS(Albums!$E$2:$E$406,Albums!$B$2:$B$406,B50))</f>
        <v>1991</v>
      </c>
      <c r="N50" s="5" t="n">
        <f aca="false">IF(J50=0,"",_xlfn.MINIFS(Albums!$J$2:$J$406,Albums!$B$2:$B$406,B50,Albums!$J$2:$J$406,"&gt;0"))</f>
        <v>1</v>
      </c>
      <c r="O50" s="5" t="str">
        <f aca="false">IF(K50=0,"",_xlfn.MINIFS(Albums!$J$2:$J$406,Albums!$B$2:$B$406,B50,Albums!$H$2:$H$406,"yes",Albums!$J$2:$J$406,"&gt;0"))</f>
        <v/>
      </c>
      <c r="P50" s="5" t="n">
        <f aca="false">COUNTIFS(Albums!$B$2:$B$406,B50,Albums!$H$2:$H$406,"yes",Albums!$J$2:$J$406,"&gt;0",Albums!$J$2:$J$406,"&lt;=40")</f>
        <v>0</v>
      </c>
      <c r="Q50" s="5" t="n">
        <f aca="false">COUNTIFS(Albums!$B$2:$B$406,B50,Albums!$M$2:$M$406,"&gt;0")</f>
        <v>1</v>
      </c>
      <c r="R50" s="5" t="n">
        <f aca="false">COUNTIFS(Albums!$B$2:$B$406,B50,Albums!$H$2:$H$406,"yes",Albums!$M$2:$M$406,"&gt;0")</f>
        <v>0</v>
      </c>
      <c r="S50" s="7" t="n">
        <f aca="false">SUMIFS(Albums!$M$2:$M$406,Albums!$B$2:$B$406,B50)</f>
        <v>2</v>
      </c>
      <c r="T50" s="7" t="n">
        <f aca="false">SUMIFS(Albums!$M$2:$M$406,Albums!$B$2:$B$406,B50,Albums!$H$2:$H$406,"yes")</f>
        <v>0</v>
      </c>
      <c r="U50" s="5" t="n">
        <f aca="false">COUNTIFS('Grammy nominations'!$A$2:$A$189,B50,'Grammy nominations'!$F$2:$F$189,"later")</f>
        <v>0</v>
      </c>
      <c r="V50" s="5" t="n">
        <f aca="false">COUNTIFS('Grammy nominations'!$A$2:$A$189,B50,'Grammy nominations'!$F$2:$F$189,"later",'Grammy nominations'!$E$2:$E$189,"won")</f>
        <v>0</v>
      </c>
      <c r="W50" s="5" t="n">
        <f aca="false">COUNTIFS('Grammy nominations'!$A$2:$A$189,B50,'Grammy nominations'!$F$2:$F$189,"same ceremony")</f>
        <v>1</v>
      </c>
      <c r="X50" s="5" t="n">
        <f aca="false">IF(G50=0,"",M50-L50+1-SUMIFS(Breaks!$H$2:$H$31,Breaks!$A$2:$A$31,B50))</f>
        <v>3</v>
      </c>
      <c r="Y50" s="5" t="n">
        <f aca="false">IF(G50=0,"",IF(M50&lt;E50,0,M50-MAX(L50,E50)+1-SUMIFS(Breaks!$H$2:$H$31,Breaks!$A$2:$A$31,B50,Breaks!$C$2:$C$31,"&gt;="&amp;E50)))</f>
        <v>2</v>
      </c>
      <c r="Z50" s="5" t="s">
        <v>196</v>
      </c>
    </row>
    <row r="51" customFormat="false" ht="15" hidden="false" customHeight="false" outlineLevel="0" collapsed="false">
      <c r="A51" s="5" t="s">
        <v>197</v>
      </c>
      <c r="B51" s="5" t="s">
        <v>198</v>
      </c>
      <c r="C51" s="5" t="s">
        <v>59</v>
      </c>
      <c r="D51" s="6" t="n">
        <v>32561</v>
      </c>
      <c r="E51" s="5" t="n">
        <f aca="false">YEAR(D51)</f>
        <v>1989</v>
      </c>
      <c r="F51" s="5" t="s">
        <v>52</v>
      </c>
      <c r="G51" s="5" t="n">
        <f aca="false">COUNTIFS(Albums!$B$2:$B$406,B51)</f>
        <v>5</v>
      </c>
      <c r="H51" s="5" t="n">
        <f aca="false">COUNTIFS(Albums!$B$2:$B$406,B51,Albums!$H$2:$H$406,"yes")</f>
        <v>4</v>
      </c>
      <c r="I51" s="5" t="n">
        <f aca="false">COUNTIFS(Albums!$B$2:$B$406,B51,Albums!$I$2:$I$406,"yes")</f>
        <v>3</v>
      </c>
      <c r="J51" s="5" t="n">
        <f aca="false">COUNTIFS(Albums!$B$2:$B$406,B51,Albums!$J$2:$J$406,"&gt;0")</f>
        <v>2</v>
      </c>
      <c r="K51" s="5" t="n">
        <f aca="false">COUNTIFS(Albums!$B$2:$B$406,B51,Albums!$H$2:$H$406,"yes",Albums!$J$2:$J$406,"&gt;0")</f>
        <v>1</v>
      </c>
      <c r="L51" s="5" t="n">
        <f aca="false">IF(G51=0,"",_xlfn.MINIFS(Albums!$E$2:$E$406,Albums!$B$2:$B$406,B51))</f>
        <v>1988</v>
      </c>
      <c r="M51" s="5" t="n">
        <f aca="false">IF(G51=0,"",_xlfn.MAXIFS(Albums!$E$2:$E$406,Albums!$B$2:$B$406,B51))</f>
        <v>2014</v>
      </c>
      <c r="N51" s="5" t="n">
        <f aca="false">IF(J51=0,"",_xlfn.MINIFS(Albums!$J$2:$J$406,Albums!$B$2:$B$406,B51,Albums!$J$2:$J$406,"&gt;0"))</f>
        <v>63</v>
      </c>
      <c r="O51" s="5" t="n">
        <f aca="false">IF(K51=0,"",_xlfn.MINIFS(Albums!$J$2:$J$406,Albums!$B$2:$B$406,B51,Albums!$H$2:$H$406,"yes",Albums!$J$2:$J$406,"&gt;0"))</f>
        <v>115</v>
      </c>
      <c r="P51" s="5" t="n">
        <f aca="false">COUNTIFS(Albums!$B$2:$B$406,B51,Albums!$H$2:$H$406,"yes",Albums!$J$2:$J$406,"&gt;0",Albums!$J$2:$J$406,"&lt;=40")</f>
        <v>0</v>
      </c>
      <c r="Q51" s="5" t="n">
        <f aca="false">COUNTIFS(Albums!$B$2:$B$406,B51,Albums!$M$2:$M$406,"&gt;0")</f>
        <v>1</v>
      </c>
      <c r="R51" s="5" t="n">
        <f aca="false">COUNTIFS(Albums!$B$2:$B$406,B51,Albums!$H$2:$H$406,"yes",Albums!$M$2:$M$406,"&gt;0")</f>
        <v>0</v>
      </c>
      <c r="S51" s="7" t="n">
        <f aca="false">SUMIFS(Albums!$M$2:$M$406,Albums!$B$2:$B$406,B51)</f>
        <v>0.5</v>
      </c>
      <c r="T51" s="7" t="n">
        <f aca="false">SUMIFS(Albums!$M$2:$M$406,Albums!$B$2:$B$406,B51,Albums!$H$2:$H$406,"yes")</f>
        <v>0</v>
      </c>
      <c r="U51" s="5" t="n">
        <f aca="false">COUNTIFS('Grammy nominations'!$A$2:$A$189,B51,'Grammy nominations'!$F$2:$F$189,"later")</f>
        <v>1</v>
      </c>
      <c r="V51" s="5" t="n">
        <f aca="false">COUNTIFS('Grammy nominations'!$A$2:$A$189,B51,'Grammy nominations'!$F$2:$F$189,"later",'Grammy nominations'!$E$2:$E$189,"won")</f>
        <v>0</v>
      </c>
      <c r="W51" s="5" t="n">
        <f aca="false">COUNTIFS('Grammy nominations'!$A$2:$A$189,B51,'Grammy nominations'!$F$2:$F$189,"same ceremony")</f>
        <v>1</v>
      </c>
      <c r="X51" s="5" t="n">
        <f aca="false">IF(G51=0,"",M51-L51+1-SUMIFS(Breaks!$H$2:$H$31,Breaks!$A$2:$A$31,B51))</f>
        <v>27</v>
      </c>
      <c r="Y51" s="5" t="n">
        <f aca="false">IF(G51=0,"",IF(M51&lt;E51,0,M51-MAX(L51,E51)+1-SUMIFS(Breaks!$H$2:$H$31,Breaks!$A$2:$A$31,B51,Breaks!$C$2:$C$31,"&gt;="&amp;E51)))</f>
        <v>26</v>
      </c>
      <c r="Z51" s="5" t="s">
        <v>199</v>
      </c>
    </row>
    <row r="52" customFormat="false" ht="15" hidden="false" customHeight="false" outlineLevel="0" collapsed="false">
      <c r="A52" s="5" t="s">
        <v>200</v>
      </c>
      <c r="B52" s="5" t="s">
        <v>201</v>
      </c>
      <c r="C52" s="5" t="s">
        <v>59</v>
      </c>
      <c r="D52" s="6" t="n">
        <v>32561</v>
      </c>
      <c r="E52" s="5" t="n">
        <f aca="false">YEAR(D52)</f>
        <v>1989</v>
      </c>
      <c r="F52" s="5" t="s">
        <v>72</v>
      </c>
      <c r="G52" s="5" t="n">
        <f aca="false">COUNTIFS(Albums!$B$2:$B$406,B52)</f>
        <v>8</v>
      </c>
      <c r="H52" s="5" t="n">
        <f aca="false">COUNTIFS(Albums!$B$2:$B$406,B52,Albums!$H$2:$H$406,"yes")</f>
        <v>7</v>
      </c>
      <c r="I52" s="5" t="n">
        <f aca="false">COUNTIFS(Albums!$B$2:$B$406,B52,Albums!$I$2:$I$406,"yes")</f>
        <v>8</v>
      </c>
      <c r="J52" s="5" t="n">
        <f aca="false">COUNTIFS(Albums!$B$2:$B$406,B52,Albums!$J$2:$J$406,"&gt;0")</f>
        <v>8</v>
      </c>
      <c r="K52" s="5" t="n">
        <f aca="false">COUNTIFS(Albums!$B$2:$B$406,B52,Albums!$H$2:$H$406,"yes",Albums!$J$2:$J$406,"&gt;0")</f>
        <v>7</v>
      </c>
      <c r="L52" s="5" t="n">
        <f aca="false">IF(G52=0,"",_xlfn.MINIFS(Albums!$E$2:$E$406,Albums!$B$2:$B$406,B52))</f>
        <v>1988</v>
      </c>
      <c r="M52" s="5" t="n">
        <f aca="false">IF(G52=0,"",_xlfn.MAXIFS(Albums!$E$2:$E$406,Albums!$B$2:$B$406,B52))</f>
        <v>2008</v>
      </c>
      <c r="N52" s="5" t="n">
        <f aca="false">IF(J52=0,"",_xlfn.MINIFS(Albums!$J$2:$J$406,Albums!$B$2:$B$406,B52,Albums!$J$2:$J$406,"&gt;0"))</f>
        <v>1</v>
      </c>
      <c r="O52" s="5" t="n">
        <f aca="false">IF(K52=0,"",_xlfn.MINIFS(Albums!$J$2:$J$406,Albums!$B$2:$B$406,B52,Albums!$H$2:$H$406,"yes",Albums!$J$2:$J$406,"&gt;0"))</f>
        <v>4</v>
      </c>
      <c r="P52" s="5" t="n">
        <f aca="false">COUNTIFS(Albums!$B$2:$B$406,B52,Albums!$H$2:$H$406,"yes",Albums!$J$2:$J$406,"&gt;0",Albums!$J$2:$J$406,"&lt;=40")</f>
        <v>4</v>
      </c>
      <c r="Q52" s="5" t="n">
        <f aca="false">COUNTIFS(Albums!$B$2:$B$406,B52,Albums!$M$2:$M$406,"&gt;0")</f>
        <v>5</v>
      </c>
      <c r="R52" s="5" t="n">
        <f aca="false">COUNTIFS(Albums!$B$2:$B$406,B52,Albums!$H$2:$H$406,"yes",Albums!$M$2:$M$406,"&gt;0")</f>
        <v>4</v>
      </c>
      <c r="S52" s="7" t="n">
        <f aca="false">SUMIFS(Albums!$M$2:$M$406,Albums!$B$2:$B$406,B52)</f>
        <v>13</v>
      </c>
      <c r="T52" s="7" t="n">
        <f aca="false">SUMIFS(Albums!$M$2:$M$406,Albums!$B$2:$B$406,B52,Albums!$H$2:$H$406,"yes")</f>
        <v>7</v>
      </c>
      <c r="U52" s="5" t="n">
        <f aca="false">COUNTIFS('Grammy nominations'!$A$2:$A$189,B52,'Grammy nominations'!$F$2:$F$189,"later")</f>
        <v>7</v>
      </c>
      <c r="V52" s="5" t="n">
        <f aca="false">COUNTIFS('Grammy nominations'!$A$2:$A$189,B52,'Grammy nominations'!$F$2:$F$189,"later",'Grammy nominations'!$E$2:$E$189,"won")</f>
        <v>1</v>
      </c>
      <c r="W52" s="5" t="n">
        <f aca="false">COUNTIFS('Grammy nominations'!$A$2:$A$189,B52,'Grammy nominations'!$F$2:$F$189,"same ceremony")</f>
        <v>5</v>
      </c>
      <c r="X52" s="5" t="n">
        <f aca="false">IF(G52=0,"",M52-L52+1-SUMIFS(Breaks!$H$2:$H$31,Breaks!$A$2:$A$31,B52))</f>
        <v>21</v>
      </c>
      <c r="Y52" s="5" t="n">
        <f aca="false">IF(G52=0,"",IF(M52&lt;E52,0,M52-MAX(L52,E52)+1-SUMIFS(Breaks!$H$2:$H$31,Breaks!$A$2:$A$31,B52,Breaks!$C$2:$C$31,"&gt;="&amp;E52)))</f>
        <v>20</v>
      </c>
      <c r="Z52" s="5" t="s">
        <v>202</v>
      </c>
    </row>
    <row r="53" customFormat="false" ht="15" hidden="false" customHeight="false" outlineLevel="0" collapsed="false">
      <c r="A53" s="5" t="s">
        <v>203</v>
      </c>
      <c r="B53" s="5" t="s">
        <v>204</v>
      </c>
      <c r="C53" s="5" t="s">
        <v>59</v>
      </c>
      <c r="D53" s="6" t="n">
        <v>32561</v>
      </c>
      <c r="E53" s="5" t="n">
        <f aca="false">YEAR(D53)</f>
        <v>1989</v>
      </c>
      <c r="F53" s="5" t="s">
        <v>52</v>
      </c>
      <c r="G53" s="5" t="n">
        <f aca="false">COUNTIFS(Albums!$B$2:$B$406,B53)</f>
        <v>9</v>
      </c>
      <c r="H53" s="5" t="n">
        <f aca="false">COUNTIFS(Albums!$B$2:$B$406,B53,Albums!$H$2:$H$406,"yes")</f>
        <v>8</v>
      </c>
      <c r="I53" s="5" t="n">
        <f aca="false">COUNTIFS(Albums!$B$2:$B$406,B53,Albums!$I$2:$I$406,"yes")</f>
        <v>8</v>
      </c>
      <c r="J53" s="5" t="n">
        <f aca="false">COUNTIFS(Albums!$B$2:$B$406,B53,Albums!$J$2:$J$406,"&gt;0")</f>
        <v>8</v>
      </c>
      <c r="K53" s="5" t="n">
        <f aca="false">COUNTIFS(Albums!$B$2:$B$406,B53,Albums!$H$2:$H$406,"yes",Albums!$J$2:$J$406,"&gt;0")</f>
        <v>7</v>
      </c>
      <c r="L53" s="5" t="n">
        <f aca="false">IF(G53=0,"",_xlfn.MINIFS(Albums!$E$2:$E$406,Albums!$B$2:$B$406,B53))</f>
        <v>1988</v>
      </c>
      <c r="M53" s="5" t="n">
        <f aca="false">IF(G53=0,"",_xlfn.MAXIFS(Albums!$E$2:$E$406,Albums!$B$2:$B$406,B53))</f>
        <v>2024</v>
      </c>
      <c r="N53" s="5" t="n">
        <f aca="false">IF(J53=0,"",_xlfn.MINIFS(Albums!$J$2:$J$406,Albums!$B$2:$B$406,B53,Albums!$J$2:$J$406,"&gt;0"))</f>
        <v>17</v>
      </c>
      <c r="O53" s="5" t="n">
        <f aca="false">IF(K53=0,"",_xlfn.MINIFS(Albums!$J$2:$J$406,Albums!$B$2:$B$406,B53,Albums!$H$2:$H$406,"yes",Albums!$J$2:$J$406,"&gt;0"))</f>
        <v>17</v>
      </c>
      <c r="P53" s="5" t="n">
        <f aca="false">COUNTIFS(Albums!$B$2:$B$406,B53,Albums!$H$2:$H$406,"yes",Albums!$J$2:$J$406,"&gt;0",Albums!$J$2:$J$406,"&lt;=40")</f>
        <v>2</v>
      </c>
      <c r="Q53" s="5" t="n">
        <f aca="false">COUNTIFS(Albums!$B$2:$B$406,B53,Albums!$M$2:$M$406,"&gt;0")</f>
        <v>4</v>
      </c>
      <c r="R53" s="5" t="n">
        <f aca="false">COUNTIFS(Albums!$B$2:$B$406,B53,Albums!$H$2:$H$406,"yes",Albums!$M$2:$M$406,"&gt;0")</f>
        <v>3</v>
      </c>
      <c r="S53" s="7" t="n">
        <f aca="false">SUMIFS(Albums!$M$2:$M$406,Albums!$B$2:$B$406,B53)</f>
        <v>5</v>
      </c>
      <c r="T53" s="7" t="n">
        <f aca="false">SUMIFS(Albums!$M$2:$M$406,Albums!$B$2:$B$406,B53,Albums!$H$2:$H$406,"yes")</f>
        <v>4.5</v>
      </c>
      <c r="U53" s="5" t="n">
        <f aca="false">COUNTIFS('Grammy nominations'!$A$2:$A$189,B53,'Grammy nominations'!$F$2:$F$189,"later")</f>
        <v>9</v>
      </c>
      <c r="V53" s="5" t="n">
        <f aca="false">COUNTIFS('Grammy nominations'!$A$2:$A$189,B53,'Grammy nominations'!$F$2:$F$189,"later",'Grammy nominations'!$E$2:$E$189,"won")</f>
        <v>0</v>
      </c>
      <c r="W53" s="5" t="n">
        <f aca="false">COUNTIFS('Grammy nominations'!$A$2:$A$189,B53,'Grammy nominations'!$F$2:$F$189,"same ceremony")</f>
        <v>1</v>
      </c>
      <c r="X53" s="5" t="n">
        <f aca="false">IF(G53=0,"",M53-L53+1-SUMIFS(Breaks!$H$2:$H$31,Breaks!$A$2:$A$31,B53))</f>
        <v>37</v>
      </c>
      <c r="Y53" s="5" t="n">
        <f aca="false">IF(G53=0,"",IF(M53&lt;E53,0,M53-MAX(L53,E53)+1-SUMIFS(Breaks!$H$2:$H$31,Breaks!$A$2:$A$31,B53,Breaks!$C$2:$C$31,"&gt;="&amp;E53)))</f>
        <v>36</v>
      </c>
      <c r="Z53" s="5" t="s">
        <v>205</v>
      </c>
    </row>
  </sheetData>
  <autoFilter ref="A1:Z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34"/>
    <col collapsed="false" customWidth="true" hidden="false" outlineLevel="0" max="4" min="4" style="0" width="11"/>
    <col collapsed="false" customWidth="true" hidden="false" outlineLevel="0" max="5" min="5" style="0" width="9"/>
    <col collapsed="false" customWidth="true" hidden="false" outlineLevel="0" max="7" min="6" style="0" width="12"/>
    <col collapsed="false" customWidth="true" hidden="false" outlineLevel="0" max="8" min="8" style="0" width="11"/>
    <col collapsed="false" customWidth="true" hidden="false" outlineLevel="0" max="10" min="9" style="0" width="10"/>
    <col collapsed="false" customWidth="true" hidden="false" outlineLevel="0" max="11" min="11" style="0" width="11"/>
    <col collapsed="false" customWidth="true" hidden="false" outlineLevel="0" max="12" min="12" style="0" width="18"/>
    <col collapsed="false" customWidth="true" hidden="false" outlineLevel="0" max="13" min="13" style="0" width="10"/>
    <col collapsed="false" customWidth="true" hidden="false" outlineLevel="0" max="14" min="14" style="0" width="46"/>
    <col collapsed="false" customWidth="true" hidden="false" outlineLevel="0" max="15" min="15" style="0" width="50"/>
  </cols>
  <sheetData>
    <row r="1" customFormat="false" ht="57.45" hidden="false" customHeight="false" outlineLevel="0" collapsed="false">
      <c r="A1" s="4" t="s">
        <v>206</v>
      </c>
      <c r="B1" s="4" t="s">
        <v>24</v>
      </c>
      <c r="C1" s="4" t="s">
        <v>207</v>
      </c>
      <c r="D1" s="4" t="s">
        <v>208</v>
      </c>
      <c r="E1" s="4" t="s">
        <v>209</v>
      </c>
      <c r="F1" s="4" t="s">
        <v>210</v>
      </c>
      <c r="G1" s="4" t="s">
        <v>26</v>
      </c>
      <c r="H1" s="4" t="s">
        <v>211</v>
      </c>
      <c r="I1" s="4" t="s">
        <v>11</v>
      </c>
      <c r="J1" s="4" t="s">
        <v>7</v>
      </c>
      <c r="K1" s="4" t="s">
        <v>212</v>
      </c>
      <c r="L1" s="4" t="s">
        <v>9</v>
      </c>
      <c r="M1" s="4" t="s">
        <v>213</v>
      </c>
      <c r="N1" s="4" t="s">
        <v>214</v>
      </c>
      <c r="O1" s="4" t="s">
        <v>48</v>
      </c>
    </row>
    <row r="2" customFormat="false" ht="15" hidden="false" customHeight="false" outlineLevel="0" collapsed="false">
      <c r="A2" s="5" t="s">
        <v>215</v>
      </c>
      <c r="B2" s="5" t="s">
        <v>50</v>
      </c>
      <c r="C2" s="5" t="s">
        <v>216</v>
      </c>
      <c r="D2" s="5" t="s">
        <v>217</v>
      </c>
      <c r="E2" s="8" t="n">
        <f aca="false">VALUE(LEFT(D2,4))</f>
        <v>1985</v>
      </c>
      <c r="F2" s="6" t="n">
        <f aca="false">IF(LEN(D2)=10,DATE(VALUE(LEFT(D2,4)),VALUE(MID(D2,6,2)),VALUE(RIGHT(D2,2))),IF(LEN(D2)=7,DATE(VALUE(LEFT(D2,4)),VALUE(MID(D2,6,2)),15),DATE(VALUE(LEFT(D2,4)),7,1)))</f>
        <v>31199</v>
      </c>
      <c r="G2" s="6" t="n">
        <f aca="false">INDEX(Acts!$D:$D,MATCH(B2,Acts!$B:$B,0))</f>
        <v>31468</v>
      </c>
      <c r="H2" s="5" t="str">
        <f aca="false">IF(F2&gt;G2,"yes","no")</f>
        <v>no</v>
      </c>
      <c r="I2" s="5" t="s">
        <v>218</v>
      </c>
      <c r="J2" s="5" t="n">
        <v>15</v>
      </c>
      <c r="K2" s="5" t="str">
        <f aca="false">IF(J2="","no","yes")</f>
        <v>yes</v>
      </c>
      <c r="L2" s="5" t="s">
        <v>219</v>
      </c>
      <c r="M2" s="7" t="n">
        <f aca="false">IF(L2="",0,IF(L2="Gold",0.5,IF(L2="Platinum",1,IF(L2="Diamond",10,IF(ISNUMBER(FIND("×",L2)),VALUE(LEFT(L2,FIND("×",L2)-1)),0)))))</f>
        <v>1</v>
      </c>
      <c r="N2" s="5" t="s">
        <v>220</v>
      </c>
      <c r="O2" s="5"/>
    </row>
    <row r="3" customFormat="false" ht="15" hidden="false" customHeight="false" outlineLevel="0" collapsed="false">
      <c r="A3" s="5" t="s">
        <v>221</v>
      </c>
      <c r="B3" s="5" t="s">
        <v>50</v>
      </c>
      <c r="C3" s="5" t="s">
        <v>222</v>
      </c>
      <c r="D3" s="5" t="s">
        <v>223</v>
      </c>
      <c r="E3" s="8" t="n">
        <f aca="false">VALUE(LEFT(D3,4))</f>
        <v>1986</v>
      </c>
      <c r="F3" s="6" t="n">
        <f aca="false">IF(LEN(D3)=10,DATE(VALUE(LEFT(D3,4)),VALUE(MID(D3,6,2)),VALUE(RIGHT(D3,2))),IF(LEN(D3)=7,DATE(VALUE(LEFT(D3,4)),VALUE(MID(D3,6,2)),15),DATE(VALUE(LEFT(D3,4)),7,1)))</f>
        <v>31691</v>
      </c>
      <c r="G3" s="6" t="n">
        <f aca="false">INDEX(Acts!$D:$D,MATCH(B3,Acts!$B:$B,0))</f>
        <v>31468</v>
      </c>
      <c r="H3" s="5" t="str">
        <f aca="false">IF(F3&gt;G3,"yes","no")</f>
        <v>yes</v>
      </c>
      <c r="I3" s="5" t="s">
        <v>218</v>
      </c>
      <c r="J3" s="5" t="n">
        <v>74</v>
      </c>
      <c r="K3" s="5" t="str">
        <f aca="false">IF(J3="","no","yes")</f>
        <v>yes</v>
      </c>
      <c r="L3" s="5"/>
      <c r="M3" s="7" t="n">
        <f aca="false">IF(L3="",0,IF(L3="Gold",0.5,IF(L3="Platinum",1,IF(L3="Diamond",10,IF(ISNUMBER(FIND("×",L3)),VALUE(LEFT(L3,FIND("×",L3)-1)),0)))))</f>
        <v>0</v>
      </c>
      <c r="N3" s="5" t="s">
        <v>220</v>
      </c>
      <c r="O3" s="5"/>
    </row>
    <row r="4" customFormat="false" ht="15" hidden="false" customHeight="false" outlineLevel="0" collapsed="false">
      <c r="A4" s="5" t="s">
        <v>224</v>
      </c>
      <c r="B4" s="5" t="s">
        <v>50</v>
      </c>
      <c r="C4" s="5" t="s">
        <v>225</v>
      </c>
      <c r="D4" s="5" t="s">
        <v>226</v>
      </c>
      <c r="E4" s="8" t="n">
        <f aca="false">VALUE(LEFT(D4,4))</f>
        <v>1988</v>
      </c>
      <c r="F4" s="6" t="n">
        <f aca="false">IF(LEN(D4)=10,DATE(VALUE(LEFT(D4,4)),VALUE(MID(D4,6,2)),VALUE(RIGHT(D4,2))),IF(LEN(D4)=7,DATE(VALUE(LEFT(D4,4)),VALUE(MID(D4,6,2)),15),DATE(VALUE(LEFT(D4,4)),7,1)))</f>
        <v>32266</v>
      </c>
      <c r="G4" s="6" t="n">
        <f aca="false">INDEX(Acts!$D:$D,MATCH(B4,Acts!$B:$B,0))</f>
        <v>31468</v>
      </c>
      <c r="H4" s="5" t="str">
        <f aca="false">IF(F4&gt;G4,"yes","no")</f>
        <v>yes</v>
      </c>
      <c r="I4" s="5" t="s">
        <v>218</v>
      </c>
      <c r="J4" s="5" t="n">
        <v>148</v>
      </c>
      <c r="K4" s="5" t="str">
        <f aca="false">IF(J4="","no","yes")</f>
        <v>yes</v>
      </c>
      <c r="L4" s="5"/>
      <c r="M4" s="7" t="n">
        <f aca="false">IF(L4="",0,IF(L4="Gold",0.5,IF(L4="Platinum",1,IF(L4="Diamond",10,IF(ISNUMBER(FIND("×",L4)),VALUE(LEFT(L4,FIND("×",L4)-1)),0)))))</f>
        <v>0</v>
      </c>
      <c r="N4" s="5" t="s">
        <v>220</v>
      </c>
      <c r="O4" s="5"/>
    </row>
    <row r="5" customFormat="false" ht="15" hidden="false" customHeight="false" outlineLevel="0" collapsed="false">
      <c r="A5" s="5" t="s">
        <v>227</v>
      </c>
      <c r="B5" s="5" t="s">
        <v>50</v>
      </c>
      <c r="C5" s="5" t="s">
        <v>228</v>
      </c>
      <c r="D5" s="5" t="s">
        <v>229</v>
      </c>
      <c r="E5" s="8" t="n">
        <f aca="false">VALUE(LEFT(D5,4))</f>
        <v>1990</v>
      </c>
      <c r="F5" s="6" t="n">
        <f aca="false">IF(LEN(D5)=10,DATE(VALUE(LEFT(D5,4)),VALUE(MID(D5,6,2)),VALUE(RIGHT(D5,2))),IF(LEN(D5)=7,DATE(VALUE(LEFT(D5,4)),VALUE(MID(D5,6,2)),15),DATE(VALUE(LEFT(D5,4)),7,1)))</f>
        <v>33168</v>
      </c>
      <c r="G5" s="6" t="n">
        <f aca="false">INDEX(Acts!$D:$D,MATCH(B5,Acts!$B:$B,0))</f>
        <v>31468</v>
      </c>
      <c r="H5" s="5" t="str">
        <f aca="false">IF(F5&gt;G5,"yes","no")</f>
        <v>yes</v>
      </c>
      <c r="I5" s="5" t="s">
        <v>230</v>
      </c>
      <c r="J5" s="5"/>
      <c r="K5" s="5" t="str">
        <f aca="false">IF(J5="","no","yes")</f>
        <v>no</v>
      </c>
      <c r="L5" s="5"/>
      <c r="M5" s="7" t="n">
        <f aca="false">IF(L5="",0,IF(L5="Gold",0.5,IF(L5="Platinum",1,IF(L5="Diamond",10,IF(ISNUMBER(FIND("×",L5)),VALUE(LEFT(L5,FIND("×",L5)-1)),0)))))</f>
        <v>0</v>
      </c>
      <c r="N5" s="5" t="s">
        <v>220</v>
      </c>
      <c r="O5" s="5" t="s">
        <v>231</v>
      </c>
    </row>
    <row r="6" customFormat="false" ht="15" hidden="false" customHeight="false" outlineLevel="0" collapsed="false">
      <c r="A6" s="5" t="s">
        <v>232</v>
      </c>
      <c r="B6" s="5" t="s">
        <v>50</v>
      </c>
      <c r="C6" s="5" t="s">
        <v>233</v>
      </c>
      <c r="D6" s="5" t="s">
        <v>234</v>
      </c>
      <c r="E6" s="8" t="n">
        <f aca="false">VALUE(LEFT(D6,4))</f>
        <v>1993</v>
      </c>
      <c r="F6" s="6" t="n">
        <f aca="false">IF(LEN(D6)=10,DATE(VALUE(LEFT(D6,4)),VALUE(MID(D6,6,2)),VALUE(RIGHT(D6,2))),IF(LEN(D6)=7,DATE(VALUE(LEFT(D6,4)),VALUE(MID(D6,6,2)),15),DATE(VALUE(LEFT(D6,4)),7,1)))</f>
        <v>34134</v>
      </c>
      <c r="G6" s="6" t="n">
        <f aca="false">INDEX(Acts!$D:$D,MATCH(B6,Acts!$B:$B,0))</f>
        <v>31468</v>
      </c>
      <c r="H6" s="5" t="str">
        <f aca="false">IF(F6&gt;G6,"yes","no")</f>
        <v>yes</v>
      </c>
      <c r="I6" s="5" t="s">
        <v>218</v>
      </c>
      <c r="J6" s="5"/>
      <c r="K6" s="5" t="str">
        <f aca="false">IF(J6="","no","yes")</f>
        <v>no</v>
      </c>
      <c r="L6" s="5"/>
      <c r="M6" s="7" t="n">
        <f aca="false">IF(L6="",0,IF(L6="Gold",0.5,IF(L6="Platinum",1,IF(L6="Diamond",10,IF(ISNUMBER(FIND("×",L6)),VALUE(LEFT(L6,FIND("×",L6)-1)),0)))))</f>
        <v>0</v>
      </c>
      <c r="N6" s="5" t="s">
        <v>235</v>
      </c>
      <c r="O6" s="5" t="s">
        <v>236</v>
      </c>
    </row>
    <row r="7" customFormat="false" ht="15" hidden="false" customHeight="false" outlineLevel="0" collapsed="false">
      <c r="A7" s="5" t="s">
        <v>237</v>
      </c>
      <c r="B7" s="5" t="s">
        <v>50</v>
      </c>
      <c r="C7" s="5" t="s">
        <v>238</v>
      </c>
      <c r="D7" s="5" t="s">
        <v>239</v>
      </c>
      <c r="E7" s="8" t="n">
        <f aca="false">VALUE(LEFT(D7,4))</f>
        <v>2000</v>
      </c>
      <c r="F7" s="6" t="n">
        <f aca="false">IF(LEN(D7)=10,DATE(VALUE(LEFT(D7,4)),VALUE(MID(D7,6,2)),VALUE(RIGHT(D7,2))),IF(LEN(D7)=7,DATE(VALUE(LEFT(D7,4)),VALUE(MID(D7,6,2)),15),DATE(VALUE(LEFT(D7,4)),7,1)))</f>
        <v>36630</v>
      </c>
      <c r="G7" s="6" t="n">
        <f aca="false">INDEX(Acts!$D:$D,MATCH(B7,Acts!$B:$B,0))</f>
        <v>31468</v>
      </c>
      <c r="H7" s="5" t="str">
        <f aca="false">IF(F7&gt;G7,"yes","no")</f>
        <v>yes</v>
      </c>
      <c r="I7" s="5" t="s">
        <v>240</v>
      </c>
      <c r="J7" s="5"/>
      <c r="K7" s="5" t="str">
        <f aca="false">IF(J7="","no","yes")</f>
        <v>no</v>
      </c>
      <c r="L7" s="5"/>
      <c r="M7" s="7" t="n">
        <f aca="false">IF(L7="",0,IF(L7="Gold",0.5,IF(L7="Platinum",1,IF(L7="Diamond",10,IF(ISNUMBER(FIND("×",L7)),VALUE(LEFT(L7,FIND("×",L7)-1)),0)))))</f>
        <v>0</v>
      </c>
      <c r="N7" s="5" t="s">
        <v>241</v>
      </c>
      <c r="O7" s="5" t="s">
        <v>242</v>
      </c>
    </row>
    <row r="8" customFormat="false" ht="15" hidden="false" customHeight="false" outlineLevel="0" collapsed="false">
      <c r="A8" s="5" t="s">
        <v>243</v>
      </c>
      <c r="B8" s="5" t="s">
        <v>50</v>
      </c>
      <c r="C8" s="5" t="s">
        <v>244</v>
      </c>
      <c r="D8" s="5" t="s">
        <v>245</v>
      </c>
      <c r="E8" s="8" t="n">
        <f aca="false">VALUE(LEFT(D8,4))</f>
        <v>2002</v>
      </c>
      <c r="F8" s="6" t="n">
        <f aca="false">IF(LEN(D8)=10,DATE(VALUE(LEFT(D8,4)),VALUE(MID(D8,6,2)),VALUE(RIGHT(D8,2))),IF(LEN(D8)=7,DATE(VALUE(LEFT(D8,4)),VALUE(MID(D8,6,2)),15),DATE(VALUE(LEFT(D8,4)),7,1)))</f>
        <v>37370</v>
      </c>
      <c r="G8" s="6" t="n">
        <f aca="false">INDEX(Acts!$D:$D,MATCH(B8,Acts!$B:$B,0))</f>
        <v>31468</v>
      </c>
      <c r="H8" s="5" t="str">
        <f aca="false">IF(F8&gt;G8,"yes","no")</f>
        <v>yes</v>
      </c>
      <c r="I8" s="5" t="s">
        <v>230</v>
      </c>
      <c r="J8" s="5"/>
      <c r="K8" s="5" t="str">
        <f aca="false">IF(J8="","no","yes")</f>
        <v>no</v>
      </c>
      <c r="L8" s="5"/>
      <c r="M8" s="7" t="n">
        <f aca="false">IF(L8="",0,IF(L8="Gold",0.5,IF(L8="Platinum",1,IF(L8="Diamond",10,IF(ISNUMBER(FIND("×",L8)),VALUE(LEFT(L8,FIND("×",L8)-1)),0)))))</f>
        <v>0</v>
      </c>
      <c r="N8" s="5" t="s">
        <v>220</v>
      </c>
      <c r="O8" s="5" t="s">
        <v>246</v>
      </c>
    </row>
    <row r="9" customFormat="false" ht="15" hidden="false" customHeight="false" outlineLevel="0" collapsed="false">
      <c r="A9" s="5" t="s">
        <v>247</v>
      </c>
      <c r="B9" s="5" t="s">
        <v>50</v>
      </c>
      <c r="C9" s="5" t="s">
        <v>248</v>
      </c>
      <c r="D9" s="5" t="s">
        <v>249</v>
      </c>
      <c r="E9" s="8" t="n">
        <f aca="false">VALUE(LEFT(D9,4))</f>
        <v>2005</v>
      </c>
      <c r="F9" s="6" t="n">
        <f aca="false">IF(LEN(D9)=10,DATE(VALUE(LEFT(D9,4)),VALUE(MID(D9,6,2)),VALUE(RIGHT(D9,2))),IF(LEN(D9)=7,DATE(VALUE(LEFT(D9,4)),VALUE(MID(D9,6,2)),15),DATE(VALUE(LEFT(D9,4)),7,1)))</f>
        <v>38660</v>
      </c>
      <c r="G9" s="6" t="n">
        <f aca="false">INDEX(Acts!$D:$D,MATCH(B9,Acts!$B:$B,0))</f>
        <v>31468</v>
      </c>
      <c r="H9" s="5" t="str">
        <f aca="false">IF(F9&gt;G9,"yes","no")</f>
        <v>yes</v>
      </c>
      <c r="I9" s="5" t="s">
        <v>230</v>
      </c>
      <c r="J9" s="5"/>
      <c r="K9" s="5" t="str">
        <f aca="false">IF(J9="","no","yes")</f>
        <v>no</v>
      </c>
      <c r="L9" s="5"/>
      <c r="M9" s="7" t="n">
        <f aca="false">IF(L9="",0,IF(L9="Gold",0.5,IF(L9="Platinum",1,IF(L9="Diamond",10,IF(ISNUMBER(FIND("×",L9)),VALUE(LEFT(L9,FIND("×",L9)-1)),0)))))</f>
        <v>0</v>
      </c>
      <c r="N9" s="5" t="s">
        <v>220</v>
      </c>
      <c r="O9" s="5" t="s">
        <v>250</v>
      </c>
    </row>
    <row r="10" customFormat="false" ht="15" hidden="false" customHeight="false" outlineLevel="0" collapsed="false">
      <c r="A10" s="5" t="s">
        <v>251</v>
      </c>
      <c r="B10" s="5" t="s">
        <v>50</v>
      </c>
      <c r="C10" s="5" t="s">
        <v>252</v>
      </c>
      <c r="D10" s="5" t="s">
        <v>253</v>
      </c>
      <c r="E10" s="8" t="n">
        <f aca="false">VALUE(LEFT(D10,4))</f>
        <v>2009</v>
      </c>
      <c r="F10" s="6" t="n">
        <f aca="false">IF(LEN(D10)=10,DATE(VALUE(LEFT(D10,4)),VALUE(MID(D10,6,2)),VALUE(RIGHT(D10,2))),IF(LEN(D10)=7,DATE(VALUE(LEFT(D10,4)),VALUE(MID(D10,6,2)),15),DATE(VALUE(LEFT(D10,4)),7,1)))</f>
        <v>39976</v>
      </c>
      <c r="G10" s="6" t="n">
        <f aca="false">INDEX(Acts!$D:$D,MATCH(B10,Acts!$B:$B,0))</f>
        <v>31468</v>
      </c>
      <c r="H10" s="5" t="str">
        <f aca="false">IF(F10&gt;G10,"yes","no")</f>
        <v>yes</v>
      </c>
      <c r="I10" s="5" t="s">
        <v>230</v>
      </c>
      <c r="J10" s="5"/>
      <c r="K10" s="5" t="str">
        <f aca="false">IF(J10="","no","yes")</f>
        <v>no</v>
      </c>
      <c r="L10" s="5"/>
      <c r="M10" s="7" t="n">
        <f aca="false">IF(L10="",0,IF(L10="Gold",0.5,IF(L10="Platinum",1,IF(L10="Diamond",10,IF(ISNUMBER(FIND("×",L10)),VALUE(LEFT(L10,FIND("×",L10)-1)),0)))))</f>
        <v>0</v>
      </c>
      <c r="N10" s="5" t="s">
        <v>220</v>
      </c>
      <c r="O10" s="5" t="s">
        <v>254</v>
      </c>
    </row>
    <row r="11" customFormat="false" ht="15" hidden="false" customHeight="false" outlineLevel="0" collapsed="false">
      <c r="A11" s="5" t="s">
        <v>255</v>
      </c>
      <c r="B11" s="5" t="s">
        <v>50</v>
      </c>
      <c r="C11" s="5" t="s">
        <v>256</v>
      </c>
      <c r="D11" s="5" t="s">
        <v>257</v>
      </c>
      <c r="E11" s="8" t="n">
        <f aca="false">VALUE(LEFT(D11,4))</f>
        <v>2015</v>
      </c>
      <c r="F11" s="6" t="n">
        <f aca="false">IF(LEN(D11)=10,DATE(VALUE(LEFT(D11,4)),VALUE(MID(D11,6,2)),VALUE(RIGHT(D11,2))),IF(LEN(D11)=7,DATE(VALUE(LEFT(D11,4)),VALUE(MID(D11,6,2)),15),DATE(VALUE(LEFT(D11,4)),7,1)))</f>
        <v>42251</v>
      </c>
      <c r="G11" s="6" t="n">
        <f aca="false">INDEX(Acts!$D:$D,MATCH(B11,Acts!$B:$B,0))</f>
        <v>31468</v>
      </c>
      <c r="H11" s="5" t="str">
        <f aca="false">IF(F11&gt;G11,"yes","no")</f>
        <v>yes</v>
      </c>
      <c r="I11" s="5" t="s">
        <v>230</v>
      </c>
      <c r="J11" s="5"/>
      <c r="K11" s="5" t="str">
        <f aca="false">IF(J11="","no","yes")</f>
        <v>no</v>
      </c>
      <c r="L11" s="5"/>
      <c r="M11" s="7" t="n">
        <f aca="false">IF(L11="",0,IF(L11="Gold",0.5,IF(L11="Platinum",1,IF(L11="Diamond",10,IF(ISNUMBER(FIND("×",L11)),VALUE(LEFT(L11,FIND("×",L11)-1)),0)))))</f>
        <v>0</v>
      </c>
      <c r="N11" s="5" t="s">
        <v>220</v>
      </c>
      <c r="O11" s="5" t="s">
        <v>258</v>
      </c>
    </row>
    <row r="12" customFormat="false" ht="15" hidden="false" customHeight="false" outlineLevel="0" collapsed="false">
      <c r="A12" s="5" t="s">
        <v>259</v>
      </c>
      <c r="B12" s="5" t="s">
        <v>50</v>
      </c>
      <c r="C12" s="5" t="s">
        <v>260</v>
      </c>
      <c r="D12" s="5" t="s">
        <v>261</v>
      </c>
      <c r="E12" s="8" t="n">
        <f aca="false">VALUE(LEFT(D12,4))</f>
        <v>2022</v>
      </c>
      <c r="F12" s="6" t="n">
        <f aca="false">IF(LEN(D12)=10,DATE(VALUE(LEFT(D12,4)),VALUE(MID(D12,6,2)),VALUE(RIGHT(D12,2))),IF(LEN(D12)=7,DATE(VALUE(LEFT(D12,4)),VALUE(MID(D12,6,2)),15),DATE(VALUE(LEFT(D12,4)),7,1)))</f>
        <v>44855</v>
      </c>
      <c r="G12" s="6" t="n">
        <f aca="false">INDEX(Acts!$D:$D,MATCH(B12,Acts!$B:$B,0))</f>
        <v>31468</v>
      </c>
      <c r="H12" s="5" t="str">
        <f aca="false">IF(F12&gt;G12,"yes","no")</f>
        <v>yes</v>
      </c>
      <c r="I12" s="5" t="s">
        <v>230</v>
      </c>
      <c r="J12" s="5"/>
      <c r="K12" s="5" t="str">
        <f aca="false">IF(J12="","no","yes")</f>
        <v>no</v>
      </c>
      <c r="L12" s="5"/>
      <c r="M12" s="7" t="n">
        <f aca="false">IF(L12="",0,IF(L12="Gold",0.5,IF(L12="Platinum",1,IF(L12="Diamond",10,IF(ISNUMBER(FIND("×",L12)),VALUE(LEFT(L12,FIND("×",L12)-1)),0)))))</f>
        <v>0</v>
      </c>
      <c r="N12" s="5" t="s">
        <v>220</v>
      </c>
      <c r="O12" s="5" t="s">
        <v>262</v>
      </c>
    </row>
    <row r="13" customFormat="false" ht="15" hidden="false" customHeight="false" outlineLevel="0" collapsed="false">
      <c r="A13" s="5" t="s">
        <v>263</v>
      </c>
      <c r="B13" s="5" t="s">
        <v>55</v>
      </c>
      <c r="C13" s="5" t="s">
        <v>264</v>
      </c>
      <c r="D13" s="5" t="s">
        <v>265</v>
      </c>
      <c r="E13" s="8" t="n">
        <f aca="false">VALUE(LEFT(D13,4))</f>
        <v>1979</v>
      </c>
      <c r="F13" s="6" t="n">
        <f aca="false">IF(LEN(D13)=10,DATE(VALUE(LEFT(D13,4)),VALUE(MID(D13,6,2)),VALUE(RIGHT(D13,2))),IF(LEN(D13)=7,DATE(VALUE(LEFT(D13,4)),VALUE(MID(D13,6,2)),15),DATE(VALUE(LEFT(D13,4)),7,1)))</f>
        <v>29189</v>
      </c>
      <c r="G13" s="6" t="n">
        <f aca="false">INDEX(Acts!$D:$D,MATCH(B13,Acts!$B:$B,0))</f>
        <v>30006</v>
      </c>
      <c r="H13" s="5" t="str">
        <f aca="false">IF(F13&gt;G13,"yes","no")</f>
        <v>no</v>
      </c>
      <c r="I13" s="5" t="s">
        <v>218</v>
      </c>
      <c r="J13" s="5"/>
      <c r="K13" s="5" t="str">
        <f aca="false">IF(J13="","no","yes")</f>
        <v>no</v>
      </c>
      <c r="L13" s="5"/>
      <c r="M13" s="7" t="n">
        <f aca="false">IF(L13="",0,IF(L13="Gold",0.5,IF(L13="Platinum",1,IF(L13="Diamond",10,IF(ISNUMBER(FIND("×",L13)),VALUE(LEFT(L13,FIND("×",L13)-1)),0)))))</f>
        <v>0</v>
      </c>
      <c r="N13" s="5" t="s">
        <v>266</v>
      </c>
      <c r="O13" s="5" t="s">
        <v>267</v>
      </c>
    </row>
    <row r="14" customFormat="false" ht="15" hidden="false" customHeight="false" outlineLevel="0" collapsed="false">
      <c r="A14" s="5" t="s">
        <v>268</v>
      </c>
      <c r="B14" s="5" t="s">
        <v>55</v>
      </c>
      <c r="C14" s="5" t="s">
        <v>269</v>
      </c>
      <c r="D14" s="5" t="s">
        <v>270</v>
      </c>
      <c r="E14" s="8" t="n">
        <f aca="false">VALUE(LEFT(D14,4))</f>
        <v>1980</v>
      </c>
      <c r="F14" s="6" t="n">
        <f aca="false">IF(LEN(D14)=10,DATE(VALUE(LEFT(D14,4)),VALUE(MID(D14,6,2)),VALUE(RIGHT(D14,2))),IF(LEN(D14)=7,DATE(VALUE(LEFT(D14,4)),VALUE(MID(D14,6,2)),15),DATE(VALUE(LEFT(D14,4)),7,1)))</f>
        <v>29532</v>
      </c>
      <c r="G14" s="6" t="n">
        <f aca="false">INDEX(Acts!$D:$D,MATCH(B14,Acts!$B:$B,0))</f>
        <v>30006</v>
      </c>
      <c r="H14" s="5" t="str">
        <f aca="false">IF(F14&gt;G14,"yes","no")</f>
        <v>no</v>
      </c>
      <c r="I14" s="5" t="s">
        <v>218</v>
      </c>
      <c r="J14" s="5" t="n">
        <v>44</v>
      </c>
      <c r="K14" s="5" t="str">
        <f aca="false">IF(J14="","no","yes")</f>
        <v>yes</v>
      </c>
      <c r="L14" s="5" t="s">
        <v>271</v>
      </c>
      <c r="M14" s="7" t="n">
        <f aca="false">IF(L14="",0,IF(L14="Gold",0.5,IF(L14="Platinum",1,IF(L14="Diamond",10,IF(ISNUMBER(FIND("×",L14)),VALUE(LEFT(L14,FIND("×",L14)-1)),0)))))</f>
        <v>0.5</v>
      </c>
      <c r="N14" s="5" t="s">
        <v>272</v>
      </c>
      <c r="O14" s="5" t="s">
        <v>273</v>
      </c>
    </row>
    <row r="15" customFormat="false" ht="15" hidden="false" customHeight="false" outlineLevel="0" collapsed="false">
      <c r="A15" s="5" t="s">
        <v>274</v>
      </c>
      <c r="B15" s="5" t="s">
        <v>55</v>
      </c>
      <c r="C15" s="5" t="s">
        <v>275</v>
      </c>
      <c r="D15" s="5" t="s">
        <v>276</v>
      </c>
      <c r="E15" s="8" t="n">
        <f aca="false">VALUE(LEFT(D15,4))</f>
        <v>1981</v>
      </c>
      <c r="F15" s="6" t="n">
        <f aca="false">IF(LEN(D15)=10,DATE(VALUE(LEFT(D15,4)),VALUE(MID(D15,6,2)),VALUE(RIGHT(D15,2))),IF(LEN(D15)=7,DATE(VALUE(LEFT(D15,4)),VALUE(MID(D15,6,2)),15),DATE(VALUE(LEFT(D15,4)),7,1)))</f>
        <v>29896</v>
      </c>
      <c r="G15" s="6" t="n">
        <f aca="false">INDEX(Acts!$D:$D,MATCH(B15,Acts!$B:$B,0))</f>
        <v>30006</v>
      </c>
      <c r="H15" s="5" t="str">
        <f aca="false">IF(F15&gt;G15,"yes","no")</f>
        <v>no</v>
      </c>
      <c r="I15" s="5" t="s">
        <v>218</v>
      </c>
      <c r="J15" s="5" t="n">
        <v>94</v>
      </c>
      <c r="K15" s="5" t="str">
        <f aca="false">IF(J15="","no","yes")</f>
        <v>yes</v>
      </c>
      <c r="L15" s="5"/>
      <c r="M15" s="7" t="n">
        <f aca="false">IF(L15="",0,IF(L15="Gold",0.5,IF(L15="Platinum",1,IF(L15="Diamond",10,IF(ISNUMBER(FIND("×",L15)),VALUE(LEFT(L15,FIND("×",L15)-1)),0)))))</f>
        <v>0</v>
      </c>
      <c r="N15" s="5" t="s">
        <v>272</v>
      </c>
      <c r="O15" s="5" t="s">
        <v>277</v>
      </c>
    </row>
    <row r="16" customFormat="false" ht="15" hidden="false" customHeight="false" outlineLevel="0" collapsed="false">
      <c r="A16" s="5" t="s">
        <v>278</v>
      </c>
      <c r="B16" s="5" t="s">
        <v>58</v>
      </c>
      <c r="C16" s="5" t="s">
        <v>58</v>
      </c>
      <c r="D16" s="5" t="s">
        <v>279</v>
      </c>
      <c r="E16" s="8" t="n">
        <f aca="false">VALUE(LEFT(D16,4))</f>
        <v>1980</v>
      </c>
      <c r="F16" s="6" t="n">
        <f aca="false">IF(LEN(D16)=10,DATE(VALUE(LEFT(D16,4)),VALUE(MID(D16,6,2)),VALUE(RIGHT(D16,2))),IF(LEN(D16)=7,DATE(VALUE(LEFT(D16,4)),VALUE(MID(D16,6,2)),15),DATE(VALUE(LEFT(D16,4)),7,1)))</f>
        <v>29403</v>
      </c>
      <c r="G16" s="6" t="n">
        <f aca="false">INDEX(Acts!$D:$D,MATCH(B16,Acts!$B:$B,0))</f>
        <v>29642</v>
      </c>
      <c r="H16" s="5" t="str">
        <f aca="false">IF(F16&gt;G16,"yes","no")</f>
        <v>no</v>
      </c>
      <c r="I16" s="5" t="s">
        <v>218</v>
      </c>
      <c r="J16" s="5" t="n">
        <v>146</v>
      </c>
      <c r="K16" s="5" t="str">
        <f aca="false">IF(J16="","no","yes")</f>
        <v>yes</v>
      </c>
      <c r="L16" s="5"/>
      <c r="M16" s="7" t="n">
        <f aca="false">IF(L16="",0,IF(L16="Gold",0.5,IF(L16="Platinum",1,IF(L16="Diamond",10,IF(ISNUMBER(FIND("×",L16)),VALUE(LEFT(L16,FIND("×",L16)-1)),0)))))</f>
        <v>0</v>
      </c>
      <c r="N16" s="5" t="s">
        <v>280</v>
      </c>
      <c r="O16" s="5" t="s">
        <v>281</v>
      </c>
    </row>
    <row r="17" customFormat="false" ht="15" hidden="false" customHeight="false" outlineLevel="0" collapsed="false">
      <c r="A17" s="5" t="s">
        <v>282</v>
      </c>
      <c r="B17" s="5" t="s">
        <v>58</v>
      </c>
      <c r="C17" s="5" t="s">
        <v>283</v>
      </c>
      <c r="D17" s="5" t="s">
        <v>284</v>
      </c>
      <c r="E17" s="8" t="n">
        <f aca="false">VALUE(LEFT(D17,4))</f>
        <v>1983</v>
      </c>
      <c r="F17" s="6" t="n">
        <f aca="false">IF(LEN(D17)=10,DATE(VALUE(LEFT(D17,4)),VALUE(MID(D17,6,2)),VALUE(RIGHT(D17,2))),IF(LEN(D17)=7,DATE(VALUE(LEFT(D17,4)),VALUE(MID(D17,6,2)),15),DATE(VALUE(LEFT(D17,4)),7,1)))</f>
        <v>30498</v>
      </c>
      <c r="G17" s="6" t="n">
        <f aca="false">INDEX(Acts!$D:$D,MATCH(B17,Acts!$B:$B,0))</f>
        <v>29642</v>
      </c>
      <c r="H17" s="5" t="str">
        <f aca="false">IF(F17&gt;G17,"yes","no")</f>
        <v>yes</v>
      </c>
      <c r="I17" s="5" t="s">
        <v>230</v>
      </c>
      <c r="J17" s="5"/>
      <c r="K17" s="5" t="str">
        <f aca="false">IF(J17="","no","yes")</f>
        <v>no</v>
      </c>
      <c r="L17" s="5"/>
      <c r="M17" s="7" t="n">
        <f aca="false">IF(L17="",0,IF(L17="Gold",0.5,IF(L17="Platinum",1,IF(L17="Diamond",10,IF(ISNUMBER(FIND("×",L17)),VALUE(LEFT(L17,FIND("×",L17)-1)),0)))))</f>
        <v>0</v>
      </c>
      <c r="N17" s="5" t="s">
        <v>285</v>
      </c>
      <c r="O17" s="5" t="s">
        <v>286</v>
      </c>
    </row>
    <row r="18" customFormat="false" ht="15" hidden="false" customHeight="false" outlineLevel="0" collapsed="false">
      <c r="A18" s="5" t="s">
        <v>287</v>
      </c>
      <c r="B18" s="5" t="s">
        <v>58</v>
      </c>
      <c r="C18" s="5" t="s">
        <v>288</v>
      </c>
      <c r="D18" s="5" t="s">
        <v>289</v>
      </c>
      <c r="E18" s="8" t="n">
        <f aca="false">VALUE(LEFT(D18,4))</f>
        <v>2008</v>
      </c>
      <c r="F18" s="6" t="n">
        <f aca="false">IF(LEN(D18)=10,DATE(VALUE(LEFT(D18,4)),VALUE(MID(D18,6,2)),VALUE(RIGHT(D18,2))),IF(LEN(D18)=7,DATE(VALUE(LEFT(D18,4)),VALUE(MID(D18,6,2)),15),DATE(VALUE(LEFT(D18,4)),7,1)))</f>
        <v>39706</v>
      </c>
      <c r="G18" s="6" t="n">
        <f aca="false">INDEX(Acts!$D:$D,MATCH(B18,Acts!$B:$B,0))</f>
        <v>29642</v>
      </c>
      <c r="H18" s="5" t="str">
        <f aca="false">IF(F18&gt;G18,"yes","no")</f>
        <v>yes</v>
      </c>
      <c r="I18" s="5" t="s">
        <v>230</v>
      </c>
      <c r="J18" s="5"/>
      <c r="K18" s="5" t="str">
        <f aca="false">IF(J18="","no","yes")</f>
        <v>no</v>
      </c>
      <c r="L18" s="5"/>
      <c r="M18" s="7" t="n">
        <f aca="false">IF(L18="",0,IF(L18="Gold",0.5,IF(L18="Platinum",1,IF(L18="Diamond",10,IF(ISNUMBER(FIND("×",L18)),VALUE(LEFT(L18,FIND("×",L18)-1)),0)))))</f>
        <v>0</v>
      </c>
      <c r="N18" s="5" t="s">
        <v>290</v>
      </c>
      <c r="O18" s="5" t="s">
        <v>291</v>
      </c>
    </row>
    <row r="19" customFormat="false" ht="15" hidden="false" customHeight="false" outlineLevel="0" collapsed="false">
      <c r="A19" s="5" t="s">
        <v>292</v>
      </c>
      <c r="B19" s="5" t="s">
        <v>58</v>
      </c>
      <c r="C19" s="5" t="s">
        <v>293</v>
      </c>
      <c r="D19" s="5" t="s">
        <v>294</v>
      </c>
      <c r="E19" s="8" t="n">
        <f aca="false">VALUE(LEFT(D19,4))</f>
        <v>2016</v>
      </c>
      <c r="F19" s="6" t="n">
        <f aca="false">IF(LEN(D19)=10,DATE(VALUE(LEFT(D19,4)),VALUE(MID(D19,6,2)),VALUE(RIGHT(D19,2))),IF(LEN(D19)=7,DATE(VALUE(LEFT(D19,4)),VALUE(MID(D19,6,2)),15),DATE(VALUE(LEFT(D19,4)),7,1)))</f>
        <v>42513</v>
      </c>
      <c r="G19" s="6" t="n">
        <f aca="false">INDEX(Acts!$D:$D,MATCH(B19,Acts!$B:$B,0))</f>
        <v>29642</v>
      </c>
      <c r="H19" s="5" t="str">
        <f aca="false">IF(F19&gt;G19,"yes","no")</f>
        <v>yes</v>
      </c>
      <c r="I19" s="5" t="s">
        <v>230</v>
      </c>
      <c r="J19" s="5"/>
      <c r="K19" s="5" t="str">
        <f aca="false">IF(J19="","no","yes")</f>
        <v>no</v>
      </c>
      <c r="L19" s="5"/>
      <c r="M19" s="7" t="n">
        <f aca="false">IF(L19="",0,IF(L19="Gold",0.5,IF(L19="Platinum",1,IF(L19="Diamond",10,IF(ISNUMBER(FIND("×",L19)),VALUE(LEFT(L19,FIND("×",L19)-1)),0)))))</f>
        <v>0</v>
      </c>
      <c r="N19" s="5" t="s">
        <v>280</v>
      </c>
      <c r="O19" s="5" t="s">
        <v>295</v>
      </c>
    </row>
    <row r="20" customFormat="false" ht="15" hidden="false" customHeight="false" outlineLevel="0" collapsed="false">
      <c r="A20" s="5" t="s">
        <v>296</v>
      </c>
      <c r="B20" s="5" t="s">
        <v>62</v>
      </c>
      <c r="C20" s="5" t="s">
        <v>62</v>
      </c>
      <c r="D20" s="5" t="s">
        <v>297</v>
      </c>
      <c r="E20" s="8" t="n">
        <f aca="false">VALUE(LEFT(D20,4))</f>
        <v>1982</v>
      </c>
      <c r="F20" s="6" t="n">
        <f aca="false">IF(LEN(D20)=10,DATE(VALUE(LEFT(D20,4)),VALUE(MID(D20,6,2)),VALUE(RIGHT(D20,2))),IF(LEN(D20)=7,DATE(VALUE(LEFT(D20,4)),VALUE(MID(D20,6,2)),15),DATE(VALUE(LEFT(D20,4)),7,1)))</f>
        <v>30028</v>
      </c>
      <c r="G20" s="6" t="n">
        <f aca="false">INDEX(Acts!$D:$D,MATCH(B20,Acts!$B:$B,0))</f>
        <v>30370</v>
      </c>
      <c r="H20" s="5" t="str">
        <f aca="false">IF(F20&gt;G20,"yes","no")</f>
        <v>no</v>
      </c>
      <c r="I20" s="5" t="s">
        <v>218</v>
      </c>
      <c r="J20" s="5" t="n">
        <v>1</v>
      </c>
      <c r="K20" s="5" t="str">
        <f aca="false">IF(J20="","no","yes")</f>
        <v>yes</v>
      </c>
      <c r="L20" s="5" t="s">
        <v>298</v>
      </c>
      <c r="M20" s="7" t="n">
        <f aca="false">IF(L20="",0,IF(L20="Gold",0.5,IF(L20="Platinum",1,IF(L20="Diamond",10,IF(ISNUMBER(FIND("×",L20)),VALUE(LEFT(L20,FIND("×",L20)-1)),0)))))</f>
        <v>4</v>
      </c>
      <c r="N20" s="5" t="s">
        <v>299</v>
      </c>
      <c r="O20" s="5"/>
    </row>
    <row r="21" customFormat="false" ht="15" hidden="false" customHeight="false" outlineLevel="0" collapsed="false">
      <c r="A21" s="5" t="s">
        <v>300</v>
      </c>
      <c r="B21" s="5" t="s">
        <v>62</v>
      </c>
      <c r="C21" s="5" t="s">
        <v>301</v>
      </c>
      <c r="D21" s="5" t="s">
        <v>302</v>
      </c>
      <c r="E21" s="8" t="n">
        <f aca="false">VALUE(LEFT(D21,4))</f>
        <v>1983</v>
      </c>
      <c r="F21" s="6" t="n">
        <f aca="false">IF(LEN(D21)=10,DATE(VALUE(LEFT(D21,4)),VALUE(MID(D21,6,2)),VALUE(RIGHT(D21,2))),IF(LEN(D21)=7,DATE(VALUE(LEFT(D21,4)),VALUE(MID(D21,6,2)),15),DATE(VALUE(LEFT(D21,4)),7,1)))</f>
        <v>30540</v>
      </c>
      <c r="G21" s="6" t="n">
        <f aca="false">INDEX(Acts!$D:$D,MATCH(B21,Acts!$B:$B,0))</f>
        <v>30370</v>
      </c>
      <c r="H21" s="5" t="str">
        <f aca="false">IF(F21&gt;G21,"yes","no")</f>
        <v>yes</v>
      </c>
      <c r="I21" s="5" t="s">
        <v>218</v>
      </c>
      <c r="J21" s="5" t="n">
        <v>6</v>
      </c>
      <c r="K21" s="5" t="str">
        <f aca="false">IF(J21="","no","yes")</f>
        <v>yes</v>
      </c>
      <c r="L21" s="5" t="s">
        <v>219</v>
      </c>
      <c r="M21" s="7" t="n">
        <f aca="false">IF(L21="",0,IF(L21="Gold",0.5,IF(L21="Platinum",1,IF(L21="Diamond",10,IF(ISNUMBER(FIND("×",L21)),VALUE(LEFT(L21,FIND("×",L21)-1)),0)))))</f>
        <v>1</v>
      </c>
      <c r="N21" s="5" t="s">
        <v>299</v>
      </c>
      <c r="O21" s="5"/>
    </row>
    <row r="22" customFormat="false" ht="15" hidden="false" customHeight="false" outlineLevel="0" collapsed="false">
      <c r="A22" s="5" t="s">
        <v>303</v>
      </c>
      <c r="B22" s="5" t="s">
        <v>62</v>
      </c>
      <c r="C22" s="5" t="s">
        <v>304</v>
      </c>
      <c r="D22" s="5" t="s">
        <v>305</v>
      </c>
      <c r="E22" s="8" t="n">
        <f aca="false">VALUE(LEFT(D22,4))</f>
        <v>1985</v>
      </c>
      <c r="F22" s="6" t="n">
        <f aca="false">IF(LEN(D22)=10,DATE(VALUE(LEFT(D22,4)),VALUE(MID(D22,6,2)),VALUE(RIGHT(D22,2))),IF(LEN(D22)=7,DATE(VALUE(LEFT(D22,4)),VALUE(MID(D22,6,2)),15),DATE(VALUE(LEFT(D22,4)),7,1)))</f>
        <v>31362</v>
      </c>
      <c r="G22" s="6" t="n">
        <f aca="false">INDEX(Acts!$D:$D,MATCH(B22,Acts!$B:$B,0))</f>
        <v>30370</v>
      </c>
      <c r="H22" s="5" t="str">
        <f aca="false">IF(F22&gt;G22,"yes","no")</f>
        <v>yes</v>
      </c>
      <c r="I22" s="5" t="s">
        <v>218</v>
      </c>
      <c r="J22" s="5" t="n">
        <v>67</v>
      </c>
      <c r="K22" s="5" t="str">
        <f aca="false">IF(J22="","no","yes")</f>
        <v>yes</v>
      </c>
      <c r="L22" s="5"/>
      <c r="M22" s="7" t="n">
        <f aca="false">IF(L22="",0,IF(L22="Gold",0.5,IF(L22="Platinum",1,IF(L22="Diamond",10,IF(ISNUMBER(FIND("×",L22)),VALUE(LEFT(L22,FIND("×",L22)-1)),0)))))</f>
        <v>0</v>
      </c>
      <c r="N22" s="5" t="s">
        <v>299</v>
      </c>
      <c r="O22" s="5"/>
    </row>
    <row r="23" customFormat="false" ht="15" hidden="false" customHeight="false" outlineLevel="0" collapsed="false">
      <c r="A23" s="5" t="s">
        <v>306</v>
      </c>
      <c r="B23" s="5" t="s">
        <v>62</v>
      </c>
      <c r="C23" s="5" t="s">
        <v>307</v>
      </c>
      <c r="D23" s="5" t="s">
        <v>308</v>
      </c>
      <c r="E23" s="8" t="n">
        <f aca="false">VALUE(LEFT(D23,4))</f>
        <v>1992</v>
      </c>
      <c r="F23" s="6" t="n">
        <f aca="false">IF(LEN(D23)=10,DATE(VALUE(LEFT(D23,4)),VALUE(MID(D23,6,2)),VALUE(RIGHT(D23,2))),IF(LEN(D23)=7,DATE(VALUE(LEFT(D23,4)),VALUE(MID(D23,6,2)),15),DATE(VALUE(LEFT(D23,4)),7,1)))</f>
        <v>33763</v>
      </c>
      <c r="G23" s="6" t="n">
        <f aca="false">INDEX(Acts!$D:$D,MATCH(B23,Acts!$B:$B,0))</f>
        <v>30370</v>
      </c>
      <c r="H23" s="5" t="str">
        <f aca="false">IF(F23&gt;G23,"yes","no")</f>
        <v>yes</v>
      </c>
      <c r="I23" s="5" t="s">
        <v>218</v>
      </c>
      <c r="J23" s="5"/>
      <c r="K23" s="5" t="str">
        <f aca="false">IF(J23="","no","yes")</f>
        <v>no</v>
      </c>
      <c r="L23" s="5"/>
      <c r="M23" s="7" t="n">
        <f aca="false">IF(L23="",0,IF(L23="Gold",0.5,IF(L23="Platinum",1,IF(L23="Diamond",10,IF(ISNUMBER(FIND("×",L23)),VALUE(LEFT(L23,FIND("×",L23)-1)),0)))))</f>
        <v>0</v>
      </c>
      <c r="N23" s="5" t="s">
        <v>309</v>
      </c>
      <c r="O23" s="5" t="s">
        <v>310</v>
      </c>
    </row>
    <row r="24" customFormat="false" ht="15" hidden="false" customHeight="false" outlineLevel="0" collapsed="false">
      <c r="A24" s="5" t="s">
        <v>311</v>
      </c>
      <c r="B24" s="5" t="s">
        <v>62</v>
      </c>
      <c r="C24" s="5" t="s">
        <v>312</v>
      </c>
      <c r="D24" s="5" t="s">
        <v>313</v>
      </c>
      <c r="E24" s="8" t="n">
        <f aca="false">VALUE(LEFT(D24,4))</f>
        <v>1994</v>
      </c>
      <c r="F24" s="6" t="n">
        <f aca="false">IF(LEN(D24)=10,DATE(VALUE(LEFT(D24,4)),VALUE(MID(D24,6,2)),VALUE(RIGHT(D24,2))),IF(LEN(D24)=7,DATE(VALUE(LEFT(D24,4)),VALUE(MID(D24,6,2)),15),DATE(VALUE(LEFT(D24,4)),7,1)))</f>
        <v>34498</v>
      </c>
      <c r="G24" s="6" t="n">
        <f aca="false">INDEX(Acts!$D:$D,MATCH(B24,Acts!$B:$B,0))</f>
        <v>30370</v>
      </c>
      <c r="H24" s="5" t="str">
        <f aca="false">IF(F24&gt;G24,"yes","no")</f>
        <v>yes</v>
      </c>
      <c r="I24" s="5" t="s">
        <v>218</v>
      </c>
      <c r="J24" s="5"/>
      <c r="K24" s="5" t="str">
        <f aca="false">IF(J24="","no","yes")</f>
        <v>no</v>
      </c>
      <c r="L24" s="5"/>
      <c r="M24" s="7" t="n">
        <f aca="false">IF(L24="",0,IF(L24="Gold",0.5,IF(L24="Platinum",1,IF(L24="Diamond",10,IF(ISNUMBER(FIND("×",L24)),VALUE(LEFT(L24,FIND("×",L24)-1)),0)))))</f>
        <v>0</v>
      </c>
      <c r="N24" s="5" t="s">
        <v>314</v>
      </c>
      <c r="O24" s="5" t="s">
        <v>315</v>
      </c>
    </row>
    <row r="25" customFormat="false" ht="15" hidden="false" customHeight="false" outlineLevel="0" collapsed="false">
      <c r="A25" s="5" t="s">
        <v>316</v>
      </c>
      <c r="B25" s="5" t="s">
        <v>62</v>
      </c>
      <c r="C25" s="5" t="s">
        <v>317</v>
      </c>
      <c r="D25" s="5" t="s">
        <v>318</v>
      </c>
      <c r="E25" s="8" t="n">
        <f aca="false">VALUE(LEFT(D25,4))</f>
        <v>1996</v>
      </c>
      <c r="F25" s="6" t="n">
        <f aca="false">IF(LEN(D25)=10,DATE(VALUE(LEFT(D25,4)),VALUE(MID(D25,6,2)),VALUE(RIGHT(D25,2))),IF(LEN(D25)=7,DATE(VALUE(LEFT(D25,4)),VALUE(MID(D25,6,2)),15),DATE(VALUE(LEFT(D25,4)),7,1)))</f>
        <v>35135</v>
      </c>
      <c r="G25" s="6" t="n">
        <f aca="false">INDEX(Acts!$D:$D,MATCH(B25,Acts!$B:$B,0))</f>
        <v>30370</v>
      </c>
      <c r="H25" s="5" t="str">
        <f aca="false">IF(F25&gt;G25,"yes","no")</f>
        <v>yes</v>
      </c>
      <c r="I25" s="5" t="s">
        <v>230</v>
      </c>
      <c r="J25" s="5"/>
      <c r="K25" s="5" t="str">
        <f aca="false">IF(J25="","no","yes")</f>
        <v>no</v>
      </c>
      <c r="L25" s="5"/>
      <c r="M25" s="7" t="n">
        <f aca="false">IF(L25="",0,IF(L25="Gold",0.5,IF(L25="Platinum",1,IF(L25="Diamond",10,IF(ISNUMBER(FIND("×",L25)),VALUE(LEFT(L25,FIND("×",L25)-1)),0)))))</f>
        <v>0</v>
      </c>
      <c r="N25" s="5" t="s">
        <v>319</v>
      </c>
      <c r="O25" s="5" t="s">
        <v>320</v>
      </c>
    </row>
    <row r="26" customFormat="false" ht="15" hidden="false" customHeight="false" outlineLevel="0" collapsed="false">
      <c r="A26" s="5" t="s">
        <v>321</v>
      </c>
      <c r="B26" s="5" t="s">
        <v>62</v>
      </c>
      <c r="C26" s="5" t="s">
        <v>322</v>
      </c>
      <c r="D26" s="5" t="s">
        <v>323</v>
      </c>
      <c r="E26" s="8" t="n">
        <f aca="false">VALUE(LEFT(D26,4))</f>
        <v>2001</v>
      </c>
      <c r="F26" s="6" t="n">
        <f aca="false">IF(LEN(D26)=10,DATE(VALUE(LEFT(D26,4)),VALUE(MID(D26,6,2)),VALUE(RIGHT(D26,2))),IF(LEN(D26)=7,DATE(VALUE(LEFT(D26,4)),VALUE(MID(D26,6,2)),15),DATE(VALUE(LEFT(D26,4)),7,1)))</f>
        <v>36922</v>
      </c>
      <c r="G26" s="6" t="n">
        <f aca="false">INDEX(Acts!$D:$D,MATCH(B26,Acts!$B:$B,0))</f>
        <v>30370</v>
      </c>
      <c r="H26" s="5" t="str">
        <f aca="false">IF(F26&gt;G26,"yes","no")</f>
        <v>yes</v>
      </c>
      <c r="I26" s="5" t="s">
        <v>218</v>
      </c>
      <c r="J26" s="5"/>
      <c r="K26" s="5" t="str">
        <f aca="false">IF(J26="","no","yes")</f>
        <v>no</v>
      </c>
      <c r="L26" s="5"/>
      <c r="M26" s="7" t="n">
        <f aca="false">IF(L26="",0,IF(L26="Gold",0.5,IF(L26="Platinum",1,IF(L26="Diamond",10,IF(ISNUMBER(FIND("×",L26)),VALUE(LEFT(L26,FIND("×",L26)-1)),0)))))</f>
        <v>0</v>
      </c>
      <c r="N26" s="5" t="s">
        <v>324</v>
      </c>
      <c r="O26" s="5" t="s">
        <v>325</v>
      </c>
    </row>
    <row r="27" customFormat="false" ht="15" hidden="false" customHeight="false" outlineLevel="0" collapsed="false">
      <c r="A27" s="5" t="s">
        <v>326</v>
      </c>
      <c r="B27" s="5" t="s">
        <v>62</v>
      </c>
      <c r="C27" s="5" t="s">
        <v>327</v>
      </c>
      <c r="D27" s="5" t="s">
        <v>328</v>
      </c>
      <c r="E27" s="8" t="n">
        <f aca="false">VALUE(LEFT(D27,4))</f>
        <v>2004</v>
      </c>
      <c r="F27" s="6" t="n">
        <f aca="false">IF(LEN(D27)=10,DATE(VALUE(LEFT(D27,4)),VALUE(MID(D27,6,2)),VALUE(RIGHT(D27,2))),IF(LEN(D27)=7,DATE(VALUE(LEFT(D27,4)),VALUE(MID(D27,6,2)),15),DATE(VALUE(LEFT(D27,4)),7,1)))</f>
        <v>38230</v>
      </c>
      <c r="G27" s="6" t="n">
        <f aca="false">INDEX(Acts!$D:$D,MATCH(B27,Acts!$B:$B,0))</f>
        <v>30370</v>
      </c>
      <c r="H27" s="5" t="str">
        <f aca="false">IF(F27&gt;G27,"yes","no")</f>
        <v>yes</v>
      </c>
      <c r="I27" s="5" t="s">
        <v>230</v>
      </c>
      <c r="J27" s="5"/>
      <c r="K27" s="5" t="str">
        <f aca="false">IF(J27="","no","yes")</f>
        <v>no</v>
      </c>
      <c r="L27" s="5"/>
      <c r="M27" s="7" t="n">
        <f aca="false">IF(L27="",0,IF(L27="Gold",0.5,IF(L27="Platinum",1,IF(L27="Diamond",10,IF(ISNUMBER(FIND("×",L27)),VALUE(LEFT(L27,FIND("×",L27)-1)),0)))))</f>
        <v>0</v>
      </c>
      <c r="N27" s="5" t="s">
        <v>329</v>
      </c>
      <c r="O27" s="5" t="s">
        <v>330</v>
      </c>
    </row>
    <row r="28" customFormat="false" ht="15" hidden="false" customHeight="false" outlineLevel="0" collapsed="false">
      <c r="A28" s="5" t="s">
        <v>331</v>
      </c>
      <c r="B28" s="5" t="s">
        <v>62</v>
      </c>
      <c r="C28" s="5" t="s">
        <v>332</v>
      </c>
      <c r="D28" s="5" t="s">
        <v>333</v>
      </c>
      <c r="E28" s="8" t="n">
        <f aca="false">VALUE(LEFT(D28,4))</f>
        <v>2008</v>
      </c>
      <c r="F28" s="6" t="n">
        <f aca="false">IF(LEN(D28)=10,DATE(VALUE(LEFT(D28,4)),VALUE(MID(D28,6,2)),VALUE(RIGHT(D28,2))),IF(LEN(D28)=7,DATE(VALUE(LEFT(D28,4)),VALUE(MID(D28,6,2)),15),DATE(VALUE(LEFT(D28,4)),7,1)))</f>
        <v>39549</v>
      </c>
      <c r="G28" s="6" t="n">
        <f aca="false">INDEX(Acts!$D:$D,MATCH(B28,Acts!$B:$B,0))</f>
        <v>30370</v>
      </c>
      <c r="H28" s="5" t="str">
        <f aca="false">IF(F28&gt;G28,"yes","no")</f>
        <v>yes</v>
      </c>
      <c r="I28" s="5" t="s">
        <v>218</v>
      </c>
      <c r="J28" s="5" t="n">
        <v>73</v>
      </c>
      <c r="K28" s="5" t="str">
        <f aca="false">IF(J28="","no","yes")</f>
        <v>yes</v>
      </c>
      <c r="L28" s="5"/>
      <c r="M28" s="7" t="n">
        <f aca="false">IF(L28="",0,IF(L28="Gold",0.5,IF(L28="Platinum",1,IF(L28="Diamond",10,IF(ISNUMBER(FIND("×",L28)),VALUE(LEFT(L28,FIND("×",L28)-1)),0)))))</f>
        <v>0</v>
      </c>
      <c r="N28" s="5" t="s">
        <v>299</v>
      </c>
      <c r="O28" s="5"/>
    </row>
    <row r="29" customFormat="false" ht="15" hidden="false" customHeight="false" outlineLevel="0" collapsed="false">
      <c r="A29" s="5" t="s">
        <v>334</v>
      </c>
      <c r="B29" s="5" t="s">
        <v>62</v>
      </c>
      <c r="C29" s="5" t="s">
        <v>335</v>
      </c>
      <c r="D29" s="5" t="s">
        <v>336</v>
      </c>
      <c r="E29" s="8" t="n">
        <f aca="false">VALUE(LEFT(D29,4))</f>
        <v>2010</v>
      </c>
      <c r="F29" s="6" t="n">
        <f aca="false">IF(LEN(D29)=10,DATE(VALUE(LEFT(D29,4)),VALUE(MID(D29,6,2)),VALUE(RIGHT(D29,2))),IF(LEN(D29)=7,DATE(VALUE(LEFT(D29,4)),VALUE(MID(D29,6,2)),15),DATE(VALUE(LEFT(D29,4)),7,1)))</f>
        <v>40289</v>
      </c>
      <c r="G29" s="6" t="n">
        <f aca="false">INDEX(Acts!$D:$D,MATCH(B29,Acts!$B:$B,0))</f>
        <v>30370</v>
      </c>
      <c r="H29" s="5" t="str">
        <f aca="false">IF(F29&gt;G29,"yes","no")</f>
        <v>yes</v>
      </c>
      <c r="I29" s="5" t="s">
        <v>230</v>
      </c>
      <c r="J29" s="5"/>
      <c r="K29" s="5" t="str">
        <f aca="false">IF(J29="","no","yes")</f>
        <v>no</v>
      </c>
      <c r="L29" s="5"/>
      <c r="M29" s="7" t="n">
        <f aca="false">IF(L29="",0,IF(L29="Gold",0.5,IF(L29="Platinum",1,IF(L29="Diamond",10,IF(ISNUMBER(FIND("×",L29)),VALUE(LEFT(L29,FIND("×",L29)-1)),0)))))</f>
        <v>0</v>
      </c>
      <c r="N29" s="5" t="s">
        <v>337</v>
      </c>
      <c r="O29" s="5" t="s">
        <v>338</v>
      </c>
    </row>
    <row r="30" customFormat="false" ht="15" hidden="false" customHeight="false" outlineLevel="0" collapsed="false">
      <c r="A30" s="5" t="s">
        <v>339</v>
      </c>
      <c r="B30" s="5" t="s">
        <v>62</v>
      </c>
      <c r="C30" s="5" t="s">
        <v>340</v>
      </c>
      <c r="D30" s="5" t="s">
        <v>341</v>
      </c>
      <c r="E30" s="8" t="n">
        <f aca="false">VALUE(LEFT(D30,4))</f>
        <v>2012</v>
      </c>
      <c r="F30" s="6" t="n">
        <f aca="false">IF(LEN(D30)=10,DATE(VALUE(LEFT(D30,4)),VALUE(MID(D30,6,2)),VALUE(RIGHT(D30,2))),IF(LEN(D30)=7,DATE(VALUE(LEFT(D30,4)),VALUE(MID(D30,6,2)),15),DATE(VALUE(LEFT(D30,4)),7,1)))</f>
        <v>41080</v>
      </c>
      <c r="G30" s="6" t="n">
        <f aca="false">INDEX(Acts!$D:$D,MATCH(B30,Acts!$B:$B,0))</f>
        <v>30370</v>
      </c>
      <c r="H30" s="5" t="str">
        <f aca="false">IF(F30&gt;G30,"yes","no")</f>
        <v>yes</v>
      </c>
      <c r="I30" s="5" t="s">
        <v>218</v>
      </c>
      <c r="J30" s="5" t="n">
        <v>134</v>
      </c>
      <c r="K30" s="5" t="str">
        <f aca="false">IF(J30="","no","yes")</f>
        <v>yes</v>
      </c>
      <c r="L30" s="5"/>
      <c r="M30" s="7" t="n">
        <f aca="false">IF(L30="",0,IF(L30="Gold",0.5,IF(L30="Platinum",1,IF(L30="Diamond",10,IF(ISNUMBER(FIND("×",L30)),VALUE(LEFT(L30,FIND("×",L30)-1)),0)))))</f>
        <v>0</v>
      </c>
      <c r="N30" s="5" t="s">
        <v>299</v>
      </c>
      <c r="O30" s="5"/>
    </row>
    <row r="31" customFormat="false" ht="15" hidden="false" customHeight="false" outlineLevel="0" collapsed="false">
      <c r="A31" s="5" t="s">
        <v>342</v>
      </c>
      <c r="B31" s="5" t="s">
        <v>62</v>
      </c>
      <c r="C31" s="5" t="s">
        <v>343</v>
      </c>
      <c r="D31" s="5" t="s">
        <v>344</v>
      </c>
      <c r="E31" s="8" t="n">
        <f aca="false">VALUE(LEFT(D31,4))</f>
        <v>2014</v>
      </c>
      <c r="F31" s="6" t="n">
        <f aca="false">IF(LEN(D31)=10,DATE(VALUE(LEFT(D31,4)),VALUE(MID(D31,6,2)),VALUE(RIGHT(D31,2))),IF(LEN(D31)=7,DATE(VALUE(LEFT(D31,4)),VALUE(MID(D31,6,2)),15),DATE(VALUE(LEFT(D31,4)),7,1)))</f>
        <v>41719</v>
      </c>
      <c r="G31" s="6" t="n">
        <f aca="false">INDEX(Acts!$D:$D,MATCH(B31,Acts!$B:$B,0))</f>
        <v>30370</v>
      </c>
      <c r="H31" s="5" t="str">
        <f aca="false">IF(F31&gt;G31,"yes","no")</f>
        <v>yes</v>
      </c>
      <c r="I31" s="5" t="s">
        <v>218</v>
      </c>
      <c r="J31" s="5" t="n">
        <v>159</v>
      </c>
      <c r="K31" s="5" t="str">
        <f aca="false">IF(J31="","no","yes")</f>
        <v>yes</v>
      </c>
      <c r="L31" s="5"/>
      <c r="M31" s="7" t="n">
        <f aca="false">IF(L31="",0,IF(L31="Gold",0.5,IF(L31="Platinum",1,IF(L31="Diamond",10,IF(ISNUMBER(FIND("×",L31)),VALUE(LEFT(L31,FIND("×",L31)-1)),0)))))</f>
        <v>0</v>
      </c>
      <c r="N31" s="5" t="s">
        <v>299</v>
      </c>
      <c r="O31" s="5"/>
    </row>
    <row r="32" customFormat="false" ht="15" hidden="false" customHeight="false" outlineLevel="0" collapsed="false">
      <c r="A32" s="5" t="s">
        <v>345</v>
      </c>
      <c r="B32" s="5" t="s">
        <v>65</v>
      </c>
      <c r="C32" s="5" t="s">
        <v>346</v>
      </c>
      <c r="D32" s="5" t="s">
        <v>347</v>
      </c>
      <c r="E32" s="8" t="n">
        <f aca="false">VALUE(LEFT(D32,4))</f>
        <v>1983</v>
      </c>
      <c r="F32" s="6" t="n">
        <f aca="false">IF(LEN(D32)=10,DATE(VALUE(LEFT(D32,4)),VALUE(MID(D32,6,2)),VALUE(RIGHT(D32,2))),IF(LEN(D32)=7,DATE(VALUE(LEFT(D32,4)),VALUE(MID(D32,6,2)),15),DATE(VALUE(LEFT(D32,4)),7,1)))</f>
        <v>30526</v>
      </c>
      <c r="G32" s="6" t="n">
        <f aca="false">INDEX(Acts!$D:$D,MATCH(B32,Acts!$B:$B,0))</f>
        <v>30740</v>
      </c>
      <c r="H32" s="5" t="str">
        <f aca="false">IF(F32&gt;G32,"yes","no")</f>
        <v>no</v>
      </c>
      <c r="I32" s="5" t="s">
        <v>218</v>
      </c>
      <c r="J32" s="5" t="n">
        <v>18</v>
      </c>
      <c r="K32" s="5" t="str">
        <f aca="false">IF(J32="","no","yes")</f>
        <v>yes</v>
      </c>
      <c r="L32" s="5" t="s">
        <v>271</v>
      </c>
      <c r="M32" s="7" t="n">
        <f aca="false">IF(L32="",0,IF(L32="Gold",0.5,IF(L32="Platinum",1,IF(L32="Diamond",10,IF(ISNUMBER(FIND("×",L32)),VALUE(LEFT(L32,FIND("×",L32)-1)),0)))))</f>
        <v>0.5</v>
      </c>
      <c r="N32" s="5" t="s">
        <v>348</v>
      </c>
      <c r="O32" s="5"/>
    </row>
    <row r="33" customFormat="false" ht="15" hidden="false" customHeight="false" outlineLevel="0" collapsed="false">
      <c r="A33" s="5" t="s">
        <v>349</v>
      </c>
      <c r="B33" s="5" t="s">
        <v>65</v>
      </c>
      <c r="C33" s="5" t="s">
        <v>350</v>
      </c>
      <c r="D33" s="5" t="s">
        <v>351</v>
      </c>
      <c r="E33" s="8" t="n">
        <f aca="false">VALUE(LEFT(D33,4))</f>
        <v>1984</v>
      </c>
      <c r="F33" s="6" t="n">
        <f aca="false">IF(LEN(D33)=10,DATE(VALUE(LEFT(D33,4)),VALUE(MID(D33,6,2)),VALUE(RIGHT(D33,2))),IF(LEN(D33)=7,DATE(VALUE(LEFT(D33,4)),VALUE(MID(D33,6,2)),15),DATE(VALUE(LEFT(D33,4)),7,1)))</f>
        <v>30974</v>
      </c>
      <c r="G33" s="6" t="n">
        <f aca="false">INDEX(Acts!$D:$D,MATCH(B33,Acts!$B:$B,0))</f>
        <v>30740</v>
      </c>
      <c r="H33" s="5" t="str">
        <f aca="false">IF(F33&gt;G33,"yes","no")</f>
        <v>yes</v>
      </c>
      <c r="I33" s="5" t="s">
        <v>218</v>
      </c>
      <c r="J33" s="5" t="n">
        <v>70</v>
      </c>
      <c r="K33" s="5" t="str">
        <f aca="false">IF(J33="","no","yes")</f>
        <v>yes</v>
      </c>
      <c r="L33" s="5"/>
      <c r="M33" s="7" t="n">
        <f aca="false">IF(L33="",0,IF(L33="Gold",0.5,IF(L33="Platinum",1,IF(L33="Diamond",10,IF(ISNUMBER(FIND("×",L33)),VALUE(LEFT(L33,FIND("×",L33)-1)),0)))))</f>
        <v>0</v>
      </c>
      <c r="N33" s="5" t="s">
        <v>348</v>
      </c>
      <c r="O33" s="5"/>
    </row>
    <row r="34" customFormat="false" ht="15" hidden="false" customHeight="false" outlineLevel="0" collapsed="false">
      <c r="A34" s="5" t="s">
        <v>352</v>
      </c>
      <c r="B34" s="5" t="s">
        <v>65</v>
      </c>
      <c r="C34" s="5" t="s">
        <v>353</v>
      </c>
      <c r="D34" s="5" t="s">
        <v>354</v>
      </c>
      <c r="E34" s="8" t="n">
        <f aca="false">VALUE(LEFT(D34,4))</f>
        <v>1986</v>
      </c>
      <c r="F34" s="6" t="n">
        <f aca="false">IF(LEN(D34)=10,DATE(VALUE(LEFT(D34,4)),VALUE(MID(D34,6,2)),VALUE(RIGHT(D34,2))),IF(LEN(D34)=7,DATE(VALUE(LEFT(D34,4)),VALUE(MID(D34,6,2)),15),DATE(VALUE(LEFT(D34,4)),7,1)))</f>
        <v>31593</v>
      </c>
      <c r="G34" s="6" t="n">
        <f aca="false">INDEX(Acts!$D:$D,MATCH(B34,Acts!$B:$B,0))</f>
        <v>30740</v>
      </c>
      <c r="H34" s="5" t="str">
        <f aca="false">IF(F34&gt;G34,"yes","no")</f>
        <v>yes</v>
      </c>
      <c r="I34" s="5" t="s">
        <v>218</v>
      </c>
      <c r="J34" s="5" t="n">
        <v>59</v>
      </c>
      <c r="K34" s="5" t="str">
        <f aca="false">IF(J34="","no","yes")</f>
        <v>yes</v>
      </c>
      <c r="L34" s="5"/>
      <c r="M34" s="7" t="n">
        <f aca="false">IF(L34="",0,IF(L34="Gold",0.5,IF(L34="Platinum",1,IF(L34="Diamond",10,IF(ISNUMBER(FIND("×",L34)),VALUE(LEFT(L34,FIND("×",L34)-1)),0)))))</f>
        <v>0</v>
      </c>
      <c r="N34" s="5" t="s">
        <v>348</v>
      </c>
      <c r="O34" s="5"/>
    </row>
    <row r="35" customFormat="false" ht="15" hidden="false" customHeight="false" outlineLevel="0" collapsed="false">
      <c r="A35" s="5" t="s">
        <v>355</v>
      </c>
      <c r="B35" s="5" t="s">
        <v>65</v>
      </c>
      <c r="C35" s="5" t="s">
        <v>356</v>
      </c>
      <c r="D35" s="5" t="s">
        <v>357</v>
      </c>
      <c r="E35" s="8" t="n">
        <f aca="false">VALUE(LEFT(D35,4))</f>
        <v>1988</v>
      </c>
      <c r="F35" s="6" t="n">
        <f aca="false">IF(LEN(D35)=10,DATE(VALUE(LEFT(D35,4)),VALUE(MID(D35,6,2)),VALUE(RIGHT(D35,2))),IF(LEN(D35)=7,DATE(VALUE(LEFT(D35,4)),VALUE(MID(D35,6,2)),15),DATE(VALUE(LEFT(D35,4)),7,1)))</f>
        <v>32412</v>
      </c>
      <c r="G35" s="6" t="n">
        <f aca="false">INDEX(Acts!$D:$D,MATCH(B35,Acts!$B:$B,0))</f>
        <v>30740</v>
      </c>
      <c r="H35" s="5" t="str">
        <f aca="false">IF(F35&gt;G35,"yes","no")</f>
        <v>yes</v>
      </c>
      <c r="I35" s="5" t="s">
        <v>218</v>
      </c>
      <c r="J35" s="5" t="n">
        <v>160</v>
      </c>
      <c r="K35" s="5" t="str">
        <f aca="false">IF(J35="","no","yes")</f>
        <v>yes</v>
      </c>
      <c r="L35" s="5"/>
      <c r="M35" s="7" t="n">
        <f aca="false">IF(L35="",0,IF(L35="Gold",0.5,IF(L35="Platinum",1,IF(L35="Diamond",10,IF(ISNUMBER(FIND("×",L35)),VALUE(LEFT(L35,FIND("×",L35)-1)),0)))))</f>
        <v>0</v>
      </c>
      <c r="N35" s="5" t="s">
        <v>348</v>
      </c>
      <c r="O35" s="5"/>
    </row>
    <row r="36" customFormat="false" ht="15" hidden="false" customHeight="false" outlineLevel="0" collapsed="false">
      <c r="A36" s="5" t="s">
        <v>358</v>
      </c>
      <c r="B36" s="5" t="s">
        <v>65</v>
      </c>
      <c r="C36" s="5" t="s">
        <v>359</v>
      </c>
      <c r="D36" s="5" t="s">
        <v>360</v>
      </c>
      <c r="E36" s="8" t="n">
        <f aca="false">VALUE(LEFT(D36,4))</f>
        <v>1991</v>
      </c>
      <c r="F36" s="6" t="n">
        <f aca="false">IF(LEN(D36)=10,DATE(VALUE(LEFT(D36,4)),VALUE(MID(D36,6,2)),VALUE(RIGHT(D36,2))),IF(LEN(D36)=7,DATE(VALUE(LEFT(D36,4)),VALUE(MID(D36,6,2)),15),DATE(VALUE(LEFT(D36,4)),7,1)))</f>
        <v>33497</v>
      </c>
      <c r="G36" s="6" t="n">
        <f aca="false">INDEX(Acts!$D:$D,MATCH(B36,Acts!$B:$B,0))</f>
        <v>30740</v>
      </c>
      <c r="H36" s="5" t="str">
        <f aca="false">IF(F36&gt;G36,"yes","no")</f>
        <v>yes</v>
      </c>
      <c r="I36" s="5" t="s">
        <v>230</v>
      </c>
      <c r="J36" s="5"/>
      <c r="K36" s="5" t="str">
        <f aca="false">IF(J36="","no","yes")</f>
        <v>no</v>
      </c>
      <c r="L36" s="5"/>
      <c r="M36" s="7" t="n">
        <f aca="false">IF(L36="",0,IF(L36="Gold",0.5,IF(L36="Platinum",1,IF(L36="Diamond",10,IF(ISNUMBER(FIND("×",L36)),VALUE(LEFT(L36,FIND("×",L36)-1)),0)))))</f>
        <v>0</v>
      </c>
      <c r="N36" s="5" t="s">
        <v>348</v>
      </c>
      <c r="O36" s="5" t="s">
        <v>361</v>
      </c>
    </row>
    <row r="37" customFormat="false" ht="15" hidden="false" customHeight="false" outlineLevel="0" collapsed="false">
      <c r="A37" s="5" t="s">
        <v>362</v>
      </c>
      <c r="B37" s="5" t="s">
        <v>65</v>
      </c>
      <c r="C37" s="5" t="s">
        <v>363</v>
      </c>
      <c r="D37" s="5" t="s">
        <v>364</v>
      </c>
      <c r="E37" s="8" t="n">
        <f aca="false">VALUE(LEFT(D37,4))</f>
        <v>1993</v>
      </c>
      <c r="F37" s="6" t="n">
        <f aca="false">IF(LEN(D37)=10,DATE(VALUE(LEFT(D37,4)),VALUE(MID(D37,6,2)),VALUE(RIGHT(D37,2))),IF(LEN(D37)=7,DATE(VALUE(LEFT(D37,4)),VALUE(MID(D37,6,2)),15),DATE(VALUE(LEFT(D37,4)),7,1)))</f>
        <v>34050</v>
      </c>
      <c r="G37" s="6" t="n">
        <f aca="false">INDEX(Acts!$D:$D,MATCH(B37,Acts!$B:$B,0))</f>
        <v>30740</v>
      </c>
      <c r="H37" s="5" t="str">
        <f aca="false">IF(F37&gt;G37,"yes","no")</f>
        <v>yes</v>
      </c>
      <c r="I37" s="5" t="s">
        <v>218</v>
      </c>
      <c r="J37" s="5"/>
      <c r="K37" s="5" t="str">
        <f aca="false">IF(J37="","no","yes")</f>
        <v>no</v>
      </c>
      <c r="L37" s="5"/>
      <c r="M37" s="7" t="n">
        <f aca="false">IF(L37="",0,IF(L37="Gold",0.5,IF(L37="Platinum",1,IF(L37="Diamond",10,IF(ISNUMBER(FIND("×",L37)),VALUE(LEFT(L37,FIND("×",L37)-1)),0)))))</f>
        <v>0</v>
      </c>
      <c r="N37" s="5" t="s">
        <v>365</v>
      </c>
      <c r="O37" s="5" t="s">
        <v>366</v>
      </c>
    </row>
    <row r="38" customFormat="false" ht="15" hidden="false" customHeight="false" outlineLevel="0" collapsed="false">
      <c r="A38" s="5" t="s">
        <v>367</v>
      </c>
      <c r="B38" s="5" t="s">
        <v>65</v>
      </c>
      <c r="C38" s="5" t="s">
        <v>368</v>
      </c>
      <c r="D38" s="5" t="s">
        <v>369</v>
      </c>
      <c r="E38" s="8" t="n">
        <f aca="false">VALUE(LEFT(D38,4))</f>
        <v>1995</v>
      </c>
      <c r="F38" s="6" t="n">
        <f aca="false">IF(LEN(D38)=10,DATE(VALUE(LEFT(D38,4)),VALUE(MID(D38,6,2)),VALUE(RIGHT(D38,2))),IF(LEN(D38)=7,DATE(VALUE(LEFT(D38,4)),VALUE(MID(D38,6,2)),15),DATE(VALUE(LEFT(D38,4)),7,1)))</f>
        <v>34862</v>
      </c>
      <c r="G38" s="6" t="n">
        <f aca="false">INDEX(Acts!$D:$D,MATCH(B38,Acts!$B:$B,0))</f>
        <v>30740</v>
      </c>
      <c r="H38" s="5" t="str">
        <f aca="false">IF(F38&gt;G38,"yes","no")</f>
        <v>yes</v>
      </c>
      <c r="I38" s="5" t="s">
        <v>218</v>
      </c>
      <c r="J38" s="5"/>
      <c r="K38" s="5" t="str">
        <f aca="false">IF(J38="","no","yes")</f>
        <v>no</v>
      </c>
      <c r="L38" s="5"/>
      <c r="M38" s="7" t="n">
        <f aca="false">IF(L38="",0,IF(L38="Gold",0.5,IF(L38="Platinum",1,IF(L38="Diamond",10,IF(ISNUMBER(FIND("×",L38)),VALUE(LEFT(L38,FIND("×",L38)-1)),0)))))</f>
        <v>0</v>
      </c>
      <c r="N38" s="5" t="s">
        <v>370</v>
      </c>
      <c r="O38" s="5" t="s">
        <v>371</v>
      </c>
    </row>
    <row r="39" customFormat="false" ht="15" hidden="false" customHeight="false" outlineLevel="0" collapsed="false">
      <c r="A39" s="5" t="s">
        <v>372</v>
      </c>
      <c r="B39" s="5" t="s">
        <v>65</v>
      </c>
      <c r="C39" s="5" t="s">
        <v>373</v>
      </c>
      <c r="D39" s="5" t="s">
        <v>374</v>
      </c>
      <c r="E39" s="8" t="n">
        <f aca="false">VALUE(LEFT(D39,4))</f>
        <v>1999</v>
      </c>
      <c r="F39" s="6" t="n">
        <f aca="false">IF(LEN(D39)=10,DATE(VALUE(LEFT(D39,4)),VALUE(MID(D39,6,2)),VALUE(RIGHT(D39,2))),IF(LEN(D39)=7,DATE(VALUE(LEFT(D39,4)),VALUE(MID(D39,6,2)),15),DATE(VALUE(LEFT(D39,4)),7,1)))</f>
        <v>36395</v>
      </c>
      <c r="G39" s="6" t="n">
        <f aca="false">INDEX(Acts!$D:$D,MATCH(B39,Acts!$B:$B,0))</f>
        <v>30740</v>
      </c>
      <c r="H39" s="5" t="str">
        <f aca="false">IF(F39&gt;G39,"yes","no")</f>
        <v>yes</v>
      </c>
      <c r="I39" s="5" t="s">
        <v>230</v>
      </c>
      <c r="J39" s="5"/>
      <c r="K39" s="5" t="str">
        <f aca="false">IF(J39="","no","yes")</f>
        <v>no</v>
      </c>
      <c r="L39" s="5"/>
      <c r="M39" s="7" t="n">
        <f aca="false">IF(L39="",0,IF(L39="Gold",0.5,IF(L39="Platinum",1,IF(L39="Diamond",10,IF(ISNUMBER(FIND("×",L39)),VALUE(LEFT(L39,FIND("×",L39)-1)),0)))))</f>
        <v>0</v>
      </c>
      <c r="N39" s="5" t="s">
        <v>348</v>
      </c>
      <c r="O39" s="5" t="s">
        <v>375</v>
      </c>
    </row>
    <row r="40" customFormat="false" ht="15" hidden="false" customHeight="false" outlineLevel="0" collapsed="false">
      <c r="A40" s="5" t="s">
        <v>376</v>
      </c>
      <c r="B40" s="5" t="s">
        <v>65</v>
      </c>
      <c r="C40" s="5" t="s">
        <v>377</v>
      </c>
      <c r="D40" s="5" t="s">
        <v>378</v>
      </c>
      <c r="E40" s="8" t="n">
        <f aca="false">VALUE(LEFT(D40,4))</f>
        <v>2013</v>
      </c>
      <c r="F40" s="6" t="n">
        <f aca="false">IF(LEN(D40)=10,DATE(VALUE(LEFT(D40,4)),VALUE(MID(D40,6,2)),VALUE(RIGHT(D40,2))),IF(LEN(D40)=7,DATE(VALUE(LEFT(D40,4)),VALUE(MID(D40,6,2)),15),DATE(VALUE(LEFT(D40,4)),7,1)))</f>
        <v>41372</v>
      </c>
      <c r="G40" s="6" t="n">
        <f aca="false">INDEX(Acts!$D:$D,MATCH(B40,Acts!$B:$B,0))</f>
        <v>30740</v>
      </c>
      <c r="H40" s="5" t="str">
        <f aca="false">IF(F40&gt;G40,"yes","no")</f>
        <v>yes</v>
      </c>
      <c r="I40" s="5" t="s">
        <v>230</v>
      </c>
      <c r="J40" s="5"/>
      <c r="K40" s="5" t="str">
        <f aca="false">IF(J40="","no","yes")</f>
        <v>no</v>
      </c>
      <c r="L40" s="5"/>
      <c r="M40" s="7" t="n">
        <f aca="false">IF(L40="",0,IF(L40="Gold",0.5,IF(L40="Platinum",1,IF(L40="Diamond",10,IF(ISNUMBER(FIND("×",L40)),VALUE(LEFT(L40,FIND("×",L40)-1)),0)))))</f>
        <v>0</v>
      </c>
      <c r="N40" s="5" t="s">
        <v>348</v>
      </c>
      <c r="O40" s="5" t="s">
        <v>375</v>
      </c>
    </row>
    <row r="41" customFormat="false" ht="15" hidden="false" customHeight="false" outlineLevel="0" collapsed="false">
      <c r="A41" s="5" t="s">
        <v>379</v>
      </c>
      <c r="B41" s="5" t="s">
        <v>68</v>
      </c>
      <c r="C41" s="5" t="s">
        <v>68</v>
      </c>
      <c r="D41" s="5" t="s">
        <v>380</v>
      </c>
      <c r="E41" s="8" t="n">
        <f aca="false">VALUE(LEFT(D41,4))</f>
        <v>1987</v>
      </c>
      <c r="F41" s="6" t="n">
        <f aca="false">IF(LEN(D41)=10,DATE(VALUE(LEFT(D41,4)),VALUE(MID(D41,6,2)),VALUE(RIGHT(D41,2))),IF(LEN(D41)=7,DATE(VALUE(LEFT(D41,4)),VALUE(MID(D41,6,2)),15),DATE(VALUE(LEFT(D41,4)),7,1)))</f>
        <v>31959</v>
      </c>
      <c r="G41" s="6" t="n">
        <f aca="false">INDEX(Acts!$D:$D,MATCH(B41,Acts!$B:$B,0))</f>
        <v>32204</v>
      </c>
      <c r="H41" s="5" t="str">
        <f aca="false">IF(F41&gt;G41,"yes","no")</f>
        <v>no</v>
      </c>
      <c r="I41" s="5" t="s">
        <v>218</v>
      </c>
      <c r="J41" s="5" t="n">
        <v>43</v>
      </c>
      <c r="K41" s="5" t="str">
        <f aca="false">IF(J41="","no","yes")</f>
        <v>yes</v>
      </c>
      <c r="L41" s="5"/>
      <c r="M41" s="7" t="n">
        <f aca="false">IF(L41="",0,IF(L41="Gold",0.5,IF(L41="Platinum",1,IF(L41="Diamond",10,IF(ISNUMBER(FIND("×",L41)),VALUE(LEFT(L41,FIND("×",L41)-1)),0)))))</f>
        <v>0</v>
      </c>
      <c r="N41" s="5" t="s">
        <v>381</v>
      </c>
      <c r="O41" s="5" t="s">
        <v>382</v>
      </c>
    </row>
    <row r="42" customFormat="false" ht="15" hidden="false" customHeight="false" outlineLevel="0" collapsed="false">
      <c r="A42" s="5" t="s">
        <v>383</v>
      </c>
      <c r="B42" s="5" t="s">
        <v>71</v>
      </c>
      <c r="C42" s="5" t="s">
        <v>384</v>
      </c>
      <c r="D42" s="5" t="s">
        <v>385</v>
      </c>
      <c r="E42" s="8" t="n">
        <f aca="false">VALUE(LEFT(D42,4))</f>
        <v>1986</v>
      </c>
      <c r="F42" s="6" t="n">
        <f aca="false">IF(LEN(D42)=10,DATE(VALUE(LEFT(D42,4)),VALUE(MID(D42,6,2)),VALUE(RIGHT(D42,2))),IF(LEN(D42)=7,DATE(VALUE(LEFT(D42,4)),VALUE(MID(D42,6,2)),15),DATE(VALUE(LEFT(D42,4)),7,1)))</f>
        <v>31517</v>
      </c>
      <c r="G42" s="6" t="n">
        <f aca="false">INDEX(Acts!$D:$D,MATCH(B42,Acts!$B:$B,0))</f>
        <v>31832</v>
      </c>
      <c r="H42" s="5" t="str">
        <f aca="false">IF(F42&gt;G42,"yes","no")</f>
        <v>no</v>
      </c>
      <c r="I42" s="5" t="s">
        <v>218</v>
      </c>
      <c r="J42" s="5" t="n">
        <v>3</v>
      </c>
      <c r="K42" s="5" t="str">
        <f aca="false">IF(J42="","no","yes")</f>
        <v>yes</v>
      </c>
      <c r="L42" s="5" t="s">
        <v>386</v>
      </c>
      <c r="M42" s="7" t="n">
        <f aca="false">IF(L42="",0,IF(L42="Gold",0.5,IF(L42="Platinum",1,IF(L42="Diamond",10,IF(ISNUMBER(FIND("×",L42)),VALUE(LEFT(L42,FIND("×",L42)-1)),0)))))</f>
        <v>3</v>
      </c>
      <c r="N42" s="5" t="s">
        <v>387</v>
      </c>
      <c r="O42" s="5"/>
    </row>
    <row r="43" customFormat="false" ht="15" hidden="false" customHeight="false" outlineLevel="0" collapsed="false">
      <c r="A43" s="5" t="s">
        <v>388</v>
      </c>
      <c r="B43" s="5" t="s">
        <v>71</v>
      </c>
      <c r="C43" s="5" t="s">
        <v>389</v>
      </c>
      <c r="D43" s="5" t="s">
        <v>226</v>
      </c>
      <c r="E43" s="8" t="n">
        <f aca="false">VALUE(LEFT(D43,4))</f>
        <v>1988</v>
      </c>
      <c r="F43" s="6" t="n">
        <f aca="false">IF(LEN(D43)=10,DATE(VALUE(LEFT(D43,4)),VALUE(MID(D43,6,2)),VALUE(RIGHT(D43,2))),IF(LEN(D43)=7,DATE(VALUE(LEFT(D43,4)),VALUE(MID(D43,6,2)),15),DATE(VALUE(LEFT(D43,4)),7,1)))</f>
        <v>32266</v>
      </c>
      <c r="G43" s="6" t="n">
        <f aca="false">INDEX(Acts!$D:$D,MATCH(B43,Acts!$B:$B,0))</f>
        <v>31832</v>
      </c>
      <c r="H43" s="5" t="str">
        <f aca="false">IF(F43&gt;G43,"yes","no")</f>
        <v>yes</v>
      </c>
      <c r="I43" s="5" t="s">
        <v>218</v>
      </c>
      <c r="J43" s="5" t="n">
        <v>5</v>
      </c>
      <c r="K43" s="5" t="str">
        <f aca="false">IF(J43="","no","yes")</f>
        <v>yes</v>
      </c>
      <c r="L43" s="5" t="s">
        <v>219</v>
      </c>
      <c r="M43" s="7" t="n">
        <f aca="false">IF(L43="",0,IF(L43="Gold",0.5,IF(L43="Platinum",1,IF(L43="Diamond",10,IF(ISNUMBER(FIND("×",L43)),VALUE(LEFT(L43,FIND("×",L43)-1)),0)))))</f>
        <v>1</v>
      </c>
      <c r="N43" s="5" t="s">
        <v>387</v>
      </c>
      <c r="O43" s="5"/>
    </row>
    <row r="44" customFormat="false" ht="15" hidden="false" customHeight="false" outlineLevel="0" collapsed="false">
      <c r="A44" s="5" t="s">
        <v>390</v>
      </c>
      <c r="B44" s="5" t="s">
        <v>71</v>
      </c>
      <c r="C44" s="5" t="s">
        <v>391</v>
      </c>
      <c r="D44" s="5" t="s">
        <v>392</v>
      </c>
      <c r="E44" s="8" t="n">
        <f aca="false">VALUE(LEFT(D44,4))</f>
        <v>1990</v>
      </c>
      <c r="F44" s="6" t="n">
        <f aca="false">IF(LEN(D44)=10,DATE(VALUE(LEFT(D44,4)),VALUE(MID(D44,6,2)),VALUE(RIGHT(D44,2))),IF(LEN(D44)=7,DATE(VALUE(LEFT(D44,4)),VALUE(MID(D44,6,2)),15),DATE(VALUE(LEFT(D44,4)),7,1)))</f>
        <v>33018</v>
      </c>
      <c r="G44" s="6" t="n">
        <f aca="false">INDEX(Acts!$D:$D,MATCH(B44,Acts!$B:$B,0))</f>
        <v>31832</v>
      </c>
      <c r="H44" s="5" t="str">
        <f aca="false">IF(F44&gt;G44,"yes","no")</f>
        <v>yes</v>
      </c>
      <c r="I44" s="5" t="s">
        <v>218</v>
      </c>
      <c r="J44" s="5" t="n">
        <v>20</v>
      </c>
      <c r="K44" s="5" t="str">
        <f aca="false">IF(J44="","no","yes")</f>
        <v>yes</v>
      </c>
      <c r="L44" s="5" t="s">
        <v>271</v>
      </c>
      <c r="M44" s="7" t="n">
        <f aca="false">IF(L44="",0,IF(L44="Gold",0.5,IF(L44="Platinum",1,IF(L44="Diamond",10,IF(ISNUMBER(FIND("×",L44)),VALUE(LEFT(L44,FIND("×",L44)-1)),0)))))</f>
        <v>0.5</v>
      </c>
      <c r="N44" s="5" t="s">
        <v>387</v>
      </c>
      <c r="O44" s="5"/>
    </row>
    <row r="45" customFormat="false" ht="15" hidden="false" customHeight="false" outlineLevel="0" collapsed="false">
      <c r="A45" s="5" t="s">
        <v>393</v>
      </c>
      <c r="B45" s="5" t="s">
        <v>75</v>
      </c>
      <c r="C45" s="5" t="s">
        <v>75</v>
      </c>
      <c r="D45" s="5" t="s">
        <v>394</v>
      </c>
      <c r="E45" s="8" t="n">
        <f aca="false">VALUE(LEFT(D45,4))</f>
        <v>1979</v>
      </c>
      <c r="F45" s="6" t="n">
        <f aca="false">IF(LEN(D45)=10,DATE(VALUE(LEFT(D45,4)),VALUE(MID(D45,6,2)),VALUE(RIGHT(D45,2))),IF(LEN(D45)=7,DATE(VALUE(LEFT(D45,4)),VALUE(MID(D45,6,2)),15),DATE(VALUE(LEFT(D45,4)),7,1)))</f>
        <v>29216</v>
      </c>
      <c r="G45" s="6" t="n">
        <f aca="false">INDEX(Acts!$D:$D,MATCH(B45,Acts!$B:$B,0))</f>
        <v>29642</v>
      </c>
      <c r="H45" s="5" t="str">
        <f aca="false">IF(F45&gt;G45,"yes","no")</f>
        <v>no</v>
      </c>
      <c r="I45" s="5" t="s">
        <v>218</v>
      </c>
      <c r="J45" s="5" t="n">
        <v>6</v>
      </c>
      <c r="K45" s="5" t="str">
        <f aca="false">IF(J45="","no","yes")</f>
        <v>yes</v>
      </c>
      <c r="L45" s="5" t="s">
        <v>395</v>
      </c>
      <c r="M45" s="7" t="n">
        <f aca="false">IF(L45="",0,IF(L45="Gold",0.5,IF(L45="Platinum",1,IF(L45="Diamond",10,IF(ISNUMBER(FIND("×",L45)),VALUE(LEFT(L45,FIND("×",L45)-1)),0)))))</f>
        <v>5</v>
      </c>
      <c r="N45" s="5" t="s">
        <v>396</v>
      </c>
      <c r="O45" s="5" t="s">
        <v>397</v>
      </c>
    </row>
    <row r="46" customFormat="false" ht="15" hidden="false" customHeight="false" outlineLevel="0" collapsed="false">
      <c r="A46" s="5" t="s">
        <v>398</v>
      </c>
      <c r="B46" s="5" t="s">
        <v>75</v>
      </c>
      <c r="C46" s="5" t="s">
        <v>399</v>
      </c>
      <c r="D46" s="5" t="s">
        <v>400</v>
      </c>
      <c r="E46" s="8" t="n">
        <f aca="false">VALUE(LEFT(D46,4))</f>
        <v>1983</v>
      </c>
      <c r="F46" s="6" t="n">
        <f aca="false">IF(LEN(D46)=10,DATE(VALUE(LEFT(D46,4)),VALUE(MID(D46,6,2)),VALUE(RIGHT(D46,2))),IF(LEN(D46)=7,DATE(VALUE(LEFT(D46,4)),VALUE(MID(D46,6,2)),15),DATE(VALUE(LEFT(D46,4)),7,1)))</f>
        <v>30347</v>
      </c>
      <c r="G46" s="6" t="n">
        <f aca="false">INDEX(Acts!$D:$D,MATCH(B46,Acts!$B:$B,0))</f>
        <v>29642</v>
      </c>
      <c r="H46" s="5" t="str">
        <f aca="false">IF(F46&gt;G46,"yes","no")</f>
        <v>yes</v>
      </c>
      <c r="I46" s="5" t="s">
        <v>218</v>
      </c>
      <c r="J46" s="5" t="n">
        <v>11</v>
      </c>
      <c r="K46" s="5" t="str">
        <f aca="false">IF(J46="","no","yes")</f>
        <v>yes</v>
      </c>
      <c r="L46" s="5" t="s">
        <v>271</v>
      </c>
      <c r="M46" s="7" t="n">
        <f aca="false">IF(L46="",0,IF(L46="Gold",0.5,IF(L46="Platinum",1,IF(L46="Diamond",10,IF(ISNUMBER(FIND("×",L46)),VALUE(LEFT(L46,FIND("×",L46)-1)),0)))))</f>
        <v>0.5</v>
      </c>
      <c r="N46" s="5" t="s">
        <v>396</v>
      </c>
      <c r="O46" s="5" t="s">
        <v>397</v>
      </c>
    </row>
    <row r="47" customFormat="false" ht="15" hidden="false" customHeight="false" outlineLevel="0" collapsed="false">
      <c r="A47" s="5" t="s">
        <v>401</v>
      </c>
      <c r="B47" s="5" t="s">
        <v>75</v>
      </c>
      <c r="C47" s="5" t="s">
        <v>402</v>
      </c>
      <c r="D47" s="5" t="s">
        <v>403</v>
      </c>
      <c r="E47" s="8" t="n">
        <f aca="false">VALUE(LEFT(D47,4))</f>
        <v>1985</v>
      </c>
      <c r="F47" s="6" t="n">
        <f aca="false">IF(LEN(D47)=10,DATE(VALUE(LEFT(D47,4)),VALUE(MID(D47,6,2)),VALUE(RIGHT(D47,2))),IF(LEN(D47)=7,DATE(VALUE(LEFT(D47,4)),VALUE(MID(D47,6,2)),15),DATE(VALUE(LEFT(D47,4)),7,1)))</f>
        <v>31355</v>
      </c>
      <c r="G47" s="6" t="n">
        <f aca="false">INDEX(Acts!$D:$D,MATCH(B47,Acts!$B:$B,0))</f>
        <v>29642</v>
      </c>
      <c r="H47" s="5" t="str">
        <f aca="false">IF(F47&gt;G47,"yes","no")</f>
        <v>yes</v>
      </c>
      <c r="I47" s="5" t="s">
        <v>218</v>
      </c>
      <c r="J47" s="5" t="n">
        <v>127</v>
      </c>
      <c r="K47" s="5" t="str">
        <f aca="false">IF(J47="","no","yes")</f>
        <v>yes</v>
      </c>
      <c r="L47" s="5"/>
      <c r="M47" s="7" t="n">
        <f aca="false">IF(L47="",0,IF(L47="Gold",0.5,IF(L47="Platinum",1,IF(L47="Diamond",10,IF(ISNUMBER(FIND("×",L47)),VALUE(LEFT(L47,FIND("×",L47)-1)),0)))))</f>
        <v>0</v>
      </c>
      <c r="N47" s="5" t="s">
        <v>396</v>
      </c>
      <c r="O47" s="5" t="s">
        <v>397</v>
      </c>
    </row>
    <row r="48" customFormat="false" ht="15" hidden="false" customHeight="false" outlineLevel="0" collapsed="false">
      <c r="A48" s="5" t="s">
        <v>404</v>
      </c>
      <c r="B48" s="5" t="s">
        <v>75</v>
      </c>
      <c r="C48" s="5" t="s">
        <v>405</v>
      </c>
      <c r="D48" s="5" t="s">
        <v>406</v>
      </c>
      <c r="E48" s="8" t="n">
        <f aca="false">VALUE(LEFT(D48,4))</f>
        <v>1988</v>
      </c>
      <c r="F48" s="6" t="n">
        <f aca="false">IF(LEN(D48)=10,DATE(VALUE(LEFT(D48,4)),VALUE(MID(D48,6,2)),VALUE(RIGHT(D48,2))),IF(LEN(D48)=7,DATE(VALUE(LEFT(D48,4)),VALUE(MID(D48,6,2)),15),DATE(VALUE(LEFT(D48,4)),7,1)))</f>
        <v>32378</v>
      </c>
      <c r="G48" s="6" t="n">
        <f aca="false">INDEX(Acts!$D:$D,MATCH(B48,Acts!$B:$B,0))</f>
        <v>29642</v>
      </c>
      <c r="H48" s="5" t="str">
        <f aca="false">IF(F48&gt;G48,"yes","no")</f>
        <v>yes</v>
      </c>
      <c r="I48" s="5" t="s">
        <v>218</v>
      </c>
      <c r="J48" s="5"/>
      <c r="K48" s="5" t="str">
        <f aca="false">IF(J48="","no","yes")</f>
        <v>no</v>
      </c>
      <c r="L48" s="5"/>
      <c r="M48" s="7" t="n">
        <f aca="false">IF(L48="",0,IF(L48="Gold",0.5,IF(L48="Platinum",1,IF(L48="Diamond",10,IF(ISNUMBER(FIND("×",L48)),VALUE(LEFT(L48,FIND("×",L48)-1)),0)))))</f>
        <v>0</v>
      </c>
      <c r="N48" s="5" t="s">
        <v>396</v>
      </c>
      <c r="O48" s="5" t="s">
        <v>407</v>
      </c>
    </row>
    <row r="49" customFormat="false" ht="15" hidden="false" customHeight="false" outlineLevel="0" collapsed="false">
      <c r="A49" s="5" t="s">
        <v>408</v>
      </c>
      <c r="B49" s="5" t="s">
        <v>75</v>
      </c>
      <c r="C49" s="5" t="s">
        <v>409</v>
      </c>
      <c r="D49" s="5" t="s">
        <v>410</v>
      </c>
      <c r="E49" s="8" t="n">
        <f aca="false">VALUE(LEFT(D49,4))</f>
        <v>1992</v>
      </c>
      <c r="F49" s="6" t="n">
        <f aca="false">IF(LEN(D49)=10,DATE(VALUE(LEFT(D49,4)),VALUE(MID(D49,6,2)),VALUE(RIGHT(D49,2))),IF(LEN(D49)=7,DATE(VALUE(LEFT(D49,4)),VALUE(MID(D49,6,2)),15),DATE(VALUE(LEFT(D49,4)),7,1)))</f>
        <v>33786</v>
      </c>
      <c r="G49" s="6" t="n">
        <f aca="false">INDEX(Acts!$D:$D,MATCH(B49,Acts!$B:$B,0))</f>
        <v>29642</v>
      </c>
      <c r="H49" s="5" t="str">
        <f aca="false">IF(F49&gt;G49,"yes","no")</f>
        <v>yes</v>
      </c>
      <c r="I49" s="5" t="s">
        <v>240</v>
      </c>
      <c r="J49" s="5"/>
      <c r="K49" s="5" t="str">
        <f aca="false">IF(J49="","no","yes")</f>
        <v>no</v>
      </c>
      <c r="L49" s="5"/>
      <c r="M49" s="7" t="n">
        <f aca="false">IF(L49="",0,IF(L49="Gold",0.5,IF(L49="Platinum",1,IF(L49="Diamond",10,IF(ISNUMBER(FIND("×",L49)),VALUE(LEFT(L49,FIND("×",L49)-1)),0)))))</f>
        <v>0</v>
      </c>
      <c r="N49" s="5" t="s">
        <v>396</v>
      </c>
      <c r="O49" s="5" t="s">
        <v>411</v>
      </c>
    </row>
    <row r="50" customFormat="false" ht="15" hidden="false" customHeight="false" outlineLevel="0" collapsed="false">
      <c r="A50" s="5" t="s">
        <v>412</v>
      </c>
      <c r="B50" s="5" t="s">
        <v>75</v>
      </c>
      <c r="C50" s="5" t="s">
        <v>413</v>
      </c>
      <c r="D50" s="5" t="s">
        <v>414</v>
      </c>
      <c r="E50" s="8" t="n">
        <f aca="false">VALUE(LEFT(D50,4))</f>
        <v>1994</v>
      </c>
      <c r="F50" s="6" t="n">
        <f aca="false">IF(LEN(D50)=10,DATE(VALUE(LEFT(D50,4)),VALUE(MID(D50,6,2)),VALUE(RIGHT(D50,2))),IF(LEN(D50)=7,DATE(VALUE(LEFT(D50,4)),VALUE(MID(D50,6,2)),15),DATE(VALUE(LEFT(D50,4)),7,1)))</f>
        <v>34571</v>
      </c>
      <c r="G50" s="6" t="n">
        <f aca="false">INDEX(Acts!$D:$D,MATCH(B50,Acts!$B:$B,0))</f>
        <v>29642</v>
      </c>
      <c r="H50" s="5" t="str">
        <f aca="false">IF(F50&gt;G50,"yes","no")</f>
        <v>yes</v>
      </c>
      <c r="I50" s="5" t="s">
        <v>218</v>
      </c>
      <c r="J50" s="5"/>
      <c r="K50" s="5" t="str">
        <f aca="false">IF(J50="","no","yes")</f>
        <v>no</v>
      </c>
      <c r="L50" s="5"/>
      <c r="M50" s="7" t="n">
        <f aca="false">IF(L50="",0,IF(L50="Gold",0.5,IF(L50="Platinum",1,IF(L50="Diamond",10,IF(ISNUMBER(FIND("×",L50)),VALUE(LEFT(L50,FIND("×",L50)-1)),0)))))</f>
        <v>0</v>
      </c>
      <c r="N50" s="5" t="s">
        <v>396</v>
      </c>
      <c r="O50" s="5" t="s">
        <v>415</v>
      </c>
    </row>
    <row r="51" customFormat="false" ht="15" hidden="false" customHeight="false" outlineLevel="0" collapsed="false">
      <c r="A51" s="5" t="s">
        <v>416</v>
      </c>
      <c r="B51" s="5" t="s">
        <v>75</v>
      </c>
      <c r="C51" s="5" t="s">
        <v>417</v>
      </c>
      <c r="D51" s="5" t="s">
        <v>418</v>
      </c>
      <c r="E51" s="8" t="n">
        <f aca="false">VALUE(LEFT(D51,4))</f>
        <v>1998</v>
      </c>
      <c r="F51" s="6" t="n">
        <f aca="false">IF(LEN(D51)=10,DATE(VALUE(LEFT(D51,4)),VALUE(MID(D51,6,2)),VALUE(RIGHT(D51,2))),IF(LEN(D51)=7,DATE(VALUE(LEFT(D51,4)),VALUE(MID(D51,6,2)),15),DATE(VALUE(LEFT(D51,4)),7,1)))</f>
        <v>36045</v>
      </c>
      <c r="G51" s="6" t="n">
        <f aca="false">INDEX(Acts!$D:$D,MATCH(B51,Acts!$B:$B,0))</f>
        <v>29642</v>
      </c>
      <c r="H51" s="5" t="str">
        <f aca="false">IF(F51&gt;G51,"yes","no")</f>
        <v>yes</v>
      </c>
      <c r="I51" s="5" t="s">
        <v>230</v>
      </c>
      <c r="J51" s="5"/>
      <c r="K51" s="5" t="str">
        <f aca="false">IF(J51="","no","yes")</f>
        <v>no</v>
      </c>
      <c r="L51" s="5"/>
      <c r="M51" s="7" t="n">
        <f aca="false">IF(L51="",0,IF(L51="Gold",0.5,IF(L51="Platinum",1,IF(L51="Diamond",10,IF(ISNUMBER(FIND("×",L51)),VALUE(LEFT(L51,FIND("×",L51)-1)),0)))))</f>
        <v>0</v>
      </c>
      <c r="N51" s="5" t="s">
        <v>396</v>
      </c>
      <c r="O51" s="5" t="s">
        <v>419</v>
      </c>
    </row>
    <row r="52" customFormat="false" ht="15" hidden="false" customHeight="false" outlineLevel="0" collapsed="false">
      <c r="A52" s="5" t="s">
        <v>420</v>
      </c>
      <c r="B52" s="5" t="s">
        <v>75</v>
      </c>
      <c r="C52" s="5" t="s">
        <v>421</v>
      </c>
      <c r="D52" s="5" t="s">
        <v>422</v>
      </c>
      <c r="E52" s="8" t="n">
        <f aca="false">VALUE(LEFT(D52,4))</f>
        <v>2007</v>
      </c>
      <c r="F52" s="6" t="n">
        <f aca="false">IF(LEN(D52)=10,DATE(VALUE(LEFT(D52,4)),VALUE(MID(D52,6,2)),VALUE(RIGHT(D52,2))),IF(LEN(D52)=7,DATE(VALUE(LEFT(D52,4)),VALUE(MID(D52,6,2)),15),DATE(VALUE(LEFT(D52,4)),7,1)))</f>
        <v>39264</v>
      </c>
      <c r="G52" s="6" t="n">
        <f aca="false">INDEX(Acts!$D:$D,MATCH(B52,Acts!$B:$B,0))</f>
        <v>29642</v>
      </c>
      <c r="H52" s="5" t="str">
        <f aca="false">IF(F52&gt;G52,"yes","no")</f>
        <v>yes</v>
      </c>
      <c r="I52" s="5" t="s">
        <v>230</v>
      </c>
      <c r="J52" s="5"/>
      <c r="K52" s="5" t="str">
        <f aca="false">IF(J52="","no","yes")</f>
        <v>no</v>
      </c>
      <c r="L52" s="5"/>
      <c r="M52" s="7" t="n">
        <f aca="false">IF(L52="",0,IF(L52="Gold",0.5,IF(L52="Platinum",1,IF(L52="Diamond",10,IF(ISNUMBER(FIND("×",L52)),VALUE(LEFT(L52,FIND("×",L52)-1)),0)))))</f>
        <v>0</v>
      </c>
      <c r="N52" s="5" t="s">
        <v>396</v>
      </c>
      <c r="O52" s="5" t="s">
        <v>423</v>
      </c>
    </row>
    <row r="53" customFormat="false" ht="15" hidden="false" customHeight="false" outlineLevel="0" collapsed="false">
      <c r="A53" s="5" t="s">
        <v>424</v>
      </c>
      <c r="B53" s="5" t="s">
        <v>75</v>
      </c>
      <c r="C53" s="5" t="s">
        <v>425</v>
      </c>
      <c r="D53" s="5" t="s">
        <v>426</v>
      </c>
      <c r="E53" s="8" t="n">
        <f aca="false">VALUE(LEFT(D53,4))</f>
        <v>2011</v>
      </c>
      <c r="F53" s="6" t="n">
        <f aca="false">IF(LEN(D53)=10,DATE(VALUE(LEFT(D53,4)),VALUE(MID(D53,6,2)),VALUE(RIGHT(D53,2))),IF(LEN(D53)=7,DATE(VALUE(LEFT(D53,4)),VALUE(MID(D53,6,2)),15),DATE(VALUE(LEFT(D53,4)),7,1)))</f>
        <v>40725</v>
      </c>
      <c r="G53" s="6" t="n">
        <f aca="false">INDEX(Acts!$D:$D,MATCH(B53,Acts!$B:$B,0))</f>
        <v>29642</v>
      </c>
      <c r="H53" s="5" t="str">
        <f aca="false">IF(F53&gt;G53,"yes","no")</f>
        <v>yes</v>
      </c>
      <c r="I53" s="5" t="s">
        <v>230</v>
      </c>
      <c r="J53" s="5"/>
      <c r="K53" s="5" t="str">
        <f aca="false">IF(J53="","no","yes")</f>
        <v>no</v>
      </c>
      <c r="L53" s="5"/>
      <c r="M53" s="7" t="n">
        <f aca="false">IF(L53="",0,IF(L53="Gold",0.5,IF(L53="Platinum",1,IF(L53="Diamond",10,IF(ISNUMBER(FIND("×",L53)),VALUE(LEFT(L53,FIND("×",L53)-1)),0)))))</f>
        <v>0</v>
      </c>
      <c r="N53" s="5" t="s">
        <v>396</v>
      </c>
      <c r="O53" s="5" t="s">
        <v>423</v>
      </c>
    </row>
    <row r="54" customFormat="false" ht="15" hidden="false" customHeight="false" outlineLevel="0" collapsed="false">
      <c r="A54" s="5" t="s">
        <v>427</v>
      </c>
      <c r="B54" s="5" t="s">
        <v>75</v>
      </c>
      <c r="C54" s="5" t="s">
        <v>428</v>
      </c>
      <c r="D54" s="5" t="s">
        <v>429</v>
      </c>
      <c r="E54" s="8" t="n">
        <f aca="false">VALUE(LEFT(D54,4))</f>
        <v>2014</v>
      </c>
      <c r="F54" s="6" t="n">
        <f aca="false">IF(LEN(D54)=10,DATE(VALUE(LEFT(D54,4)),VALUE(MID(D54,6,2)),VALUE(RIGHT(D54,2))),IF(LEN(D54)=7,DATE(VALUE(LEFT(D54,4)),VALUE(MID(D54,6,2)),15),DATE(VALUE(LEFT(D54,4)),7,1)))</f>
        <v>41821</v>
      </c>
      <c r="G54" s="6" t="n">
        <f aca="false">INDEX(Acts!$D:$D,MATCH(B54,Acts!$B:$B,0))</f>
        <v>29642</v>
      </c>
      <c r="H54" s="5" t="str">
        <f aca="false">IF(F54&gt;G54,"yes","no")</f>
        <v>yes</v>
      </c>
      <c r="I54" s="5" t="s">
        <v>230</v>
      </c>
      <c r="J54" s="5"/>
      <c r="K54" s="5" t="str">
        <f aca="false">IF(J54="","no","yes")</f>
        <v>no</v>
      </c>
      <c r="L54" s="5"/>
      <c r="M54" s="7" t="n">
        <f aca="false">IF(L54="",0,IF(L54="Gold",0.5,IF(L54="Platinum",1,IF(L54="Diamond",10,IF(ISNUMBER(FIND("×",L54)),VALUE(LEFT(L54,FIND("×",L54)-1)),0)))))</f>
        <v>0</v>
      </c>
      <c r="N54" s="5" t="s">
        <v>396</v>
      </c>
      <c r="O54" s="5" t="s">
        <v>423</v>
      </c>
    </row>
    <row r="55" customFormat="false" ht="15" hidden="false" customHeight="false" outlineLevel="0" collapsed="false">
      <c r="A55" s="5" t="s">
        <v>430</v>
      </c>
      <c r="B55" s="5" t="s">
        <v>75</v>
      </c>
      <c r="C55" s="5" t="s">
        <v>431</v>
      </c>
      <c r="D55" s="5" t="s">
        <v>432</v>
      </c>
      <c r="E55" s="8" t="n">
        <f aca="false">VALUE(LEFT(D55,4))</f>
        <v>2017</v>
      </c>
      <c r="F55" s="6" t="n">
        <f aca="false">IF(LEN(D55)=10,DATE(VALUE(LEFT(D55,4)),VALUE(MID(D55,6,2)),VALUE(RIGHT(D55,2))),IF(LEN(D55)=7,DATE(VALUE(LEFT(D55,4)),VALUE(MID(D55,6,2)),15),DATE(VALUE(LEFT(D55,4)),7,1)))</f>
        <v>42917</v>
      </c>
      <c r="G55" s="6" t="n">
        <f aca="false">INDEX(Acts!$D:$D,MATCH(B55,Acts!$B:$B,0))</f>
        <v>29642</v>
      </c>
      <c r="H55" s="5" t="str">
        <f aca="false">IF(F55&gt;G55,"yes","no")</f>
        <v>yes</v>
      </c>
      <c r="I55" s="5" t="s">
        <v>230</v>
      </c>
      <c r="J55" s="5"/>
      <c r="K55" s="5" t="str">
        <f aca="false">IF(J55="","no","yes")</f>
        <v>no</v>
      </c>
      <c r="L55" s="5"/>
      <c r="M55" s="7" t="n">
        <f aca="false">IF(L55="",0,IF(L55="Gold",0.5,IF(L55="Platinum",1,IF(L55="Diamond",10,IF(ISNUMBER(FIND("×",L55)),VALUE(LEFT(L55,FIND("×",L55)-1)),0)))))</f>
        <v>0</v>
      </c>
      <c r="N55" s="5" t="s">
        <v>396</v>
      </c>
      <c r="O55" s="5" t="s">
        <v>423</v>
      </c>
    </row>
    <row r="56" customFormat="false" ht="15" hidden="false" customHeight="false" outlineLevel="0" collapsed="false">
      <c r="A56" s="5" t="s">
        <v>433</v>
      </c>
      <c r="B56" s="5" t="s">
        <v>78</v>
      </c>
      <c r="C56" s="5" t="s">
        <v>434</v>
      </c>
      <c r="D56" s="5" t="s">
        <v>435</v>
      </c>
      <c r="E56" s="8" t="n">
        <f aca="false">VALUE(LEFT(D56,4))</f>
        <v>1983</v>
      </c>
      <c r="F56" s="6" t="n">
        <f aca="false">IF(LEN(D56)=10,DATE(VALUE(LEFT(D56,4)),VALUE(MID(D56,6,2)),VALUE(RIGHT(D56,2))),IF(LEN(D56)=7,DATE(VALUE(LEFT(D56,4)),VALUE(MID(D56,6,2)),15),DATE(VALUE(LEFT(D56,4)),7,1)))</f>
        <v>30631</v>
      </c>
      <c r="G56" s="6" t="n">
        <f aca="false">INDEX(Acts!$D:$D,MATCH(B56,Acts!$B:$B,0))</f>
        <v>31104</v>
      </c>
      <c r="H56" s="5" t="str">
        <f aca="false">IF(F56&gt;G56,"yes","no")</f>
        <v>no</v>
      </c>
      <c r="I56" s="5" t="s">
        <v>218</v>
      </c>
      <c r="J56" s="5" t="n">
        <v>31</v>
      </c>
      <c r="K56" s="5" t="str">
        <f aca="false">IF(J56="","no","yes")</f>
        <v>yes</v>
      </c>
      <c r="L56" s="5" t="s">
        <v>271</v>
      </c>
      <c r="M56" s="7" t="n">
        <f aca="false">IF(L56="",0,IF(L56="Gold",0.5,IF(L56="Platinum",1,IF(L56="Diamond",10,IF(ISNUMBER(FIND("×",L56)),VALUE(LEFT(L56,FIND("×",L56)-1)),0)))))</f>
        <v>0.5</v>
      </c>
      <c r="N56" s="5" t="s">
        <v>436</v>
      </c>
      <c r="O56" s="5"/>
    </row>
    <row r="57" customFormat="false" ht="15" hidden="false" customHeight="false" outlineLevel="0" collapsed="false">
      <c r="A57" s="5" t="s">
        <v>437</v>
      </c>
      <c r="B57" s="5" t="s">
        <v>78</v>
      </c>
      <c r="C57" s="5" t="s">
        <v>438</v>
      </c>
      <c r="D57" s="5" t="s">
        <v>439</v>
      </c>
      <c r="E57" s="8" t="n">
        <f aca="false">VALUE(LEFT(D57,4))</f>
        <v>1985</v>
      </c>
      <c r="F57" s="6" t="n">
        <f aca="false">IF(LEN(D57)=10,DATE(VALUE(LEFT(D57,4)),VALUE(MID(D57,6,2)),VALUE(RIGHT(D57,2))),IF(LEN(D57)=7,DATE(VALUE(LEFT(D57,4)),VALUE(MID(D57,6,2)),15),DATE(VALUE(LEFT(D57,4)),7,1)))</f>
        <v>31212</v>
      </c>
      <c r="G57" s="6" t="n">
        <f aca="false">INDEX(Acts!$D:$D,MATCH(B57,Acts!$B:$B,0))</f>
        <v>31104</v>
      </c>
      <c r="H57" s="5" t="str">
        <f aca="false">IF(F57&gt;G57,"yes","no")</f>
        <v>yes</v>
      </c>
      <c r="I57" s="5" t="s">
        <v>218</v>
      </c>
      <c r="J57" s="5" t="n">
        <v>20</v>
      </c>
      <c r="K57" s="5" t="str">
        <f aca="false">IF(J57="","no","yes")</f>
        <v>yes</v>
      </c>
      <c r="L57" s="5" t="s">
        <v>271</v>
      </c>
      <c r="M57" s="7" t="n">
        <f aca="false">IF(L57="",0,IF(L57="Gold",0.5,IF(L57="Platinum",1,IF(L57="Diamond",10,IF(ISNUMBER(FIND("×",L57)),VALUE(LEFT(L57,FIND("×",L57)-1)),0)))))</f>
        <v>0.5</v>
      </c>
      <c r="N57" s="5" t="s">
        <v>436</v>
      </c>
      <c r="O57" s="5"/>
    </row>
    <row r="58" customFormat="false" ht="15" hidden="false" customHeight="false" outlineLevel="0" collapsed="false">
      <c r="A58" s="5" t="s">
        <v>440</v>
      </c>
      <c r="B58" s="5" t="s">
        <v>78</v>
      </c>
      <c r="C58" s="5" t="s">
        <v>441</v>
      </c>
      <c r="D58" s="5" t="s">
        <v>442</v>
      </c>
      <c r="E58" s="8" t="n">
        <f aca="false">VALUE(LEFT(D58,4))</f>
        <v>1986</v>
      </c>
      <c r="F58" s="6" t="n">
        <f aca="false">IF(LEN(D58)=10,DATE(VALUE(LEFT(D58,4)),VALUE(MID(D58,6,2)),VALUE(RIGHT(D58,2))),IF(LEN(D58)=7,DATE(VALUE(LEFT(D58,4)),VALUE(MID(D58,6,2)),15),DATE(VALUE(LEFT(D58,4)),7,1)))</f>
        <v>31671</v>
      </c>
      <c r="G58" s="6" t="n">
        <f aca="false">INDEX(Acts!$D:$D,MATCH(B58,Acts!$B:$B,0))</f>
        <v>31104</v>
      </c>
      <c r="H58" s="5" t="str">
        <f aca="false">IF(F58&gt;G58,"yes","no")</f>
        <v>yes</v>
      </c>
      <c r="I58" s="5" t="s">
        <v>218</v>
      </c>
      <c r="J58" s="5" t="n">
        <v>55</v>
      </c>
      <c r="K58" s="5" t="str">
        <f aca="false">IF(J58="","no","yes")</f>
        <v>yes</v>
      </c>
      <c r="L58" s="5" t="s">
        <v>271</v>
      </c>
      <c r="M58" s="7" t="n">
        <f aca="false">IF(L58="",0,IF(L58="Gold",0.5,IF(L58="Platinum",1,IF(L58="Diamond",10,IF(ISNUMBER(FIND("×",L58)),VALUE(LEFT(L58,FIND("×",L58)-1)),0)))))</f>
        <v>0.5</v>
      </c>
      <c r="N58" s="5" t="s">
        <v>436</v>
      </c>
      <c r="O58" s="5"/>
    </row>
    <row r="59" customFormat="false" ht="15" hidden="false" customHeight="false" outlineLevel="0" collapsed="false">
      <c r="A59" s="5" t="s">
        <v>443</v>
      </c>
      <c r="B59" s="5" t="s">
        <v>78</v>
      </c>
      <c r="C59" s="5" t="s">
        <v>444</v>
      </c>
      <c r="D59" s="5" t="s">
        <v>445</v>
      </c>
      <c r="E59" s="8" t="n">
        <f aca="false">VALUE(LEFT(D59,4))</f>
        <v>1988</v>
      </c>
      <c r="F59" s="6" t="n">
        <f aca="false">IF(LEN(D59)=10,DATE(VALUE(LEFT(D59,4)),VALUE(MID(D59,6,2)),VALUE(RIGHT(D59,2))),IF(LEN(D59)=7,DATE(VALUE(LEFT(D59,4)),VALUE(MID(D59,6,2)),15),DATE(VALUE(LEFT(D59,4)),7,1)))</f>
        <v>32317</v>
      </c>
      <c r="G59" s="6" t="n">
        <f aca="false">INDEX(Acts!$D:$D,MATCH(B59,Acts!$B:$B,0))</f>
        <v>31104</v>
      </c>
      <c r="H59" s="5" t="str">
        <f aca="false">IF(F59&gt;G59,"yes","no")</f>
        <v>yes</v>
      </c>
      <c r="I59" s="5" t="s">
        <v>218</v>
      </c>
      <c r="J59" s="5" t="n">
        <v>121</v>
      </c>
      <c r="K59" s="5" t="str">
        <f aca="false">IF(J59="","no","yes")</f>
        <v>yes</v>
      </c>
      <c r="L59" s="5"/>
      <c r="M59" s="7" t="n">
        <f aca="false">IF(L59="",0,IF(L59="Gold",0.5,IF(L59="Platinum",1,IF(L59="Diamond",10,IF(ISNUMBER(FIND("×",L59)),VALUE(LEFT(L59,FIND("×",L59)-1)),0)))))</f>
        <v>0</v>
      </c>
      <c r="N59" s="5" t="s">
        <v>436</v>
      </c>
      <c r="O59" s="5"/>
    </row>
    <row r="60" customFormat="false" ht="15" hidden="false" customHeight="false" outlineLevel="0" collapsed="false">
      <c r="A60" s="5" t="s">
        <v>446</v>
      </c>
      <c r="B60" s="5" t="s">
        <v>78</v>
      </c>
      <c r="C60" s="5" t="s">
        <v>447</v>
      </c>
      <c r="D60" s="5" t="s">
        <v>448</v>
      </c>
      <c r="E60" s="8" t="n">
        <f aca="false">VALUE(LEFT(D60,4))</f>
        <v>1990</v>
      </c>
      <c r="F60" s="6" t="n">
        <f aca="false">IF(LEN(D60)=10,DATE(VALUE(LEFT(D60,4)),VALUE(MID(D60,6,2)),VALUE(RIGHT(D60,2))),IF(LEN(D60)=7,DATE(VALUE(LEFT(D60,4)),VALUE(MID(D60,6,2)),15),DATE(VALUE(LEFT(D60,4)),7,1)))</f>
        <v>32947</v>
      </c>
      <c r="G60" s="6" t="n">
        <f aca="false">INDEX(Acts!$D:$D,MATCH(B60,Acts!$B:$B,0))</f>
        <v>31104</v>
      </c>
      <c r="H60" s="5" t="str">
        <f aca="false">IF(F60&gt;G60,"yes","no")</f>
        <v>yes</v>
      </c>
      <c r="I60" s="5" t="s">
        <v>218</v>
      </c>
      <c r="J60" s="5" t="n">
        <v>134</v>
      </c>
      <c r="K60" s="5" t="str">
        <f aca="false">IF(J60="","no","yes")</f>
        <v>yes</v>
      </c>
      <c r="L60" s="5"/>
      <c r="M60" s="7" t="n">
        <f aca="false">IF(L60="",0,IF(L60="Gold",0.5,IF(L60="Platinum",1,IF(L60="Diamond",10,IF(ISNUMBER(FIND("×",L60)),VALUE(LEFT(L60,FIND("×",L60)-1)),0)))))</f>
        <v>0</v>
      </c>
      <c r="N60" s="5" t="s">
        <v>436</v>
      </c>
      <c r="O60" s="5"/>
    </row>
    <row r="61" customFormat="false" ht="15" hidden="false" customHeight="false" outlineLevel="0" collapsed="false">
      <c r="A61" s="5" t="s">
        <v>449</v>
      </c>
      <c r="B61" s="5" t="s">
        <v>78</v>
      </c>
      <c r="C61" s="5" t="s">
        <v>450</v>
      </c>
      <c r="D61" s="5" t="s">
        <v>451</v>
      </c>
      <c r="E61" s="8" t="n">
        <f aca="false">VALUE(LEFT(D61,4))</f>
        <v>1992</v>
      </c>
      <c r="F61" s="6" t="n">
        <f aca="false">IF(LEN(D61)=10,DATE(VALUE(LEFT(D61,4)),VALUE(MID(D61,6,2)),VALUE(RIGHT(D61,2))),IF(LEN(D61)=7,DATE(VALUE(LEFT(D61,4)),VALUE(MID(D61,6,2)),15),DATE(VALUE(LEFT(D61,4)),7,1)))</f>
        <v>33719</v>
      </c>
      <c r="G61" s="6" t="n">
        <f aca="false">INDEX(Acts!$D:$D,MATCH(B61,Acts!$B:$B,0))</f>
        <v>31104</v>
      </c>
      <c r="H61" s="5" t="str">
        <f aca="false">IF(F61&gt;G61,"yes","no")</f>
        <v>yes</v>
      </c>
      <c r="I61" s="5" t="s">
        <v>230</v>
      </c>
      <c r="J61" s="5"/>
      <c r="K61" s="5" t="str">
        <f aca="false">IF(J61="","no","yes")</f>
        <v>no</v>
      </c>
      <c r="L61" s="5"/>
      <c r="M61" s="7" t="n">
        <f aca="false">IF(L61="",0,IF(L61="Gold",0.5,IF(L61="Platinum",1,IF(L61="Diamond",10,IF(ISNUMBER(FIND("×",L61)),VALUE(LEFT(L61,FIND("×",L61)-1)),0)))))</f>
        <v>0</v>
      </c>
      <c r="N61" s="5" t="s">
        <v>452</v>
      </c>
      <c r="O61" s="5" t="s">
        <v>453</v>
      </c>
    </row>
    <row r="62" customFormat="false" ht="15" hidden="false" customHeight="false" outlineLevel="0" collapsed="false">
      <c r="A62" s="5" t="s">
        <v>454</v>
      </c>
      <c r="B62" s="5" t="s">
        <v>78</v>
      </c>
      <c r="C62" s="5" t="s">
        <v>78</v>
      </c>
      <c r="D62" s="5" t="s">
        <v>455</v>
      </c>
      <c r="E62" s="8" t="n">
        <f aca="false">VALUE(LEFT(D62,4))</f>
        <v>1996</v>
      </c>
      <c r="F62" s="6" t="n">
        <f aca="false">IF(LEN(D62)=10,DATE(VALUE(LEFT(D62,4)),VALUE(MID(D62,6,2)),VALUE(RIGHT(D62,2))),IF(LEN(D62)=7,DATE(VALUE(LEFT(D62,4)),VALUE(MID(D62,6,2)),15),DATE(VALUE(LEFT(D62,4)),7,1)))</f>
        <v>35353</v>
      </c>
      <c r="G62" s="6" t="n">
        <f aca="false">INDEX(Acts!$D:$D,MATCH(B62,Acts!$B:$B,0))</f>
        <v>31104</v>
      </c>
      <c r="H62" s="5" t="str">
        <f aca="false">IF(F62&gt;G62,"yes","no")</f>
        <v>yes</v>
      </c>
      <c r="I62" s="5" t="s">
        <v>230</v>
      </c>
      <c r="J62" s="5"/>
      <c r="K62" s="5" t="str">
        <f aca="false">IF(J62="","no","yes")</f>
        <v>no</v>
      </c>
      <c r="L62" s="5"/>
      <c r="M62" s="7" t="n">
        <f aca="false">IF(L62="",0,IF(L62="Gold",0.5,IF(L62="Platinum",1,IF(L62="Diamond",10,IF(ISNUMBER(FIND("×",L62)),VALUE(LEFT(L62,FIND("×",L62)-1)),0)))))</f>
        <v>0</v>
      </c>
      <c r="N62" s="5" t="s">
        <v>456</v>
      </c>
      <c r="O62" s="5" t="s">
        <v>457</v>
      </c>
    </row>
    <row r="63" customFormat="false" ht="15" hidden="false" customHeight="false" outlineLevel="0" collapsed="false">
      <c r="A63" s="5" t="s">
        <v>458</v>
      </c>
      <c r="B63" s="5" t="s">
        <v>78</v>
      </c>
      <c r="C63" s="5" t="s">
        <v>459</v>
      </c>
      <c r="D63" s="5" t="s">
        <v>460</v>
      </c>
      <c r="E63" s="8" t="n">
        <f aca="false">VALUE(LEFT(D63,4))</f>
        <v>1998</v>
      </c>
      <c r="F63" s="6" t="n">
        <f aca="false">IF(LEN(D63)=10,DATE(VALUE(LEFT(D63,4)),VALUE(MID(D63,6,2)),VALUE(RIGHT(D63,2))),IF(LEN(D63)=7,DATE(VALUE(LEFT(D63,4)),VALUE(MID(D63,6,2)),15),DATE(VALUE(LEFT(D63,4)),7,1)))</f>
        <v>36083</v>
      </c>
      <c r="G63" s="6" t="n">
        <f aca="false">INDEX(Acts!$D:$D,MATCH(B63,Acts!$B:$B,0))</f>
        <v>31104</v>
      </c>
      <c r="H63" s="5" t="str">
        <f aca="false">IF(F63&gt;G63,"yes","no")</f>
        <v>yes</v>
      </c>
      <c r="I63" s="5" t="s">
        <v>230</v>
      </c>
      <c r="J63" s="5"/>
      <c r="K63" s="5" t="str">
        <f aca="false">IF(J63="","no","yes")</f>
        <v>no</v>
      </c>
      <c r="L63" s="5"/>
      <c r="M63" s="7" t="n">
        <f aca="false">IF(L63="",0,IF(L63="Gold",0.5,IF(L63="Platinum",1,IF(L63="Diamond",10,IF(ISNUMBER(FIND("×",L63)),VALUE(LEFT(L63,FIND("×",L63)-1)),0)))))</f>
        <v>0</v>
      </c>
      <c r="N63" s="5" t="s">
        <v>461</v>
      </c>
      <c r="O63" s="5" t="s">
        <v>462</v>
      </c>
    </row>
    <row r="64" customFormat="false" ht="15" hidden="false" customHeight="false" outlineLevel="0" collapsed="false">
      <c r="A64" s="5" t="s">
        <v>463</v>
      </c>
      <c r="B64" s="5" t="s">
        <v>81</v>
      </c>
      <c r="C64" s="5" t="s">
        <v>464</v>
      </c>
      <c r="D64" s="5" t="s">
        <v>465</v>
      </c>
      <c r="E64" s="8" t="n">
        <f aca="false">VALUE(LEFT(D64,4))</f>
        <v>1982</v>
      </c>
      <c r="F64" s="6" t="n">
        <f aca="false">IF(LEN(D64)=10,DATE(VALUE(LEFT(D64,4)),VALUE(MID(D64,6,2)),VALUE(RIGHT(D64,2))),IF(LEN(D64)=7,DATE(VALUE(LEFT(D64,4)),VALUE(MID(D64,6,2)),15),DATE(VALUE(LEFT(D64,4)),7,1)))</f>
        <v>30232</v>
      </c>
      <c r="G64" s="6" t="n">
        <f aca="false">INDEX(Acts!$D:$D,MATCH(B64,Acts!$B:$B,0))</f>
        <v>30740</v>
      </c>
      <c r="H64" s="5" t="str">
        <f aca="false">IF(F64&gt;G64,"yes","no")</f>
        <v>no</v>
      </c>
      <c r="I64" s="5" t="s">
        <v>218</v>
      </c>
      <c r="J64" s="5" t="n">
        <v>14</v>
      </c>
      <c r="K64" s="5" t="str">
        <f aca="false">IF(J64="","no","yes")</f>
        <v>yes</v>
      </c>
      <c r="L64" s="5" t="s">
        <v>219</v>
      </c>
      <c r="M64" s="7" t="n">
        <f aca="false">IF(L64="",0,IF(L64="Gold",0.5,IF(L64="Platinum",1,IF(L64="Diamond",10,IF(ISNUMBER(FIND("×",L64)),VALUE(LEFT(L64,FIND("×",L64)-1)),0)))))</f>
        <v>1</v>
      </c>
      <c r="N64" s="5" t="s">
        <v>466</v>
      </c>
      <c r="O64" s="5"/>
    </row>
    <row r="65" customFormat="false" ht="15" hidden="false" customHeight="false" outlineLevel="0" collapsed="false">
      <c r="A65" s="5" t="s">
        <v>467</v>
      </c>
      <c r="B65" s="5" t="s">
        <v>81</v>
      </c>
      <c r="C65" s="5" t="s">
        <v>468</v>
      </c>
      <c r="D65" s="5" t="s">
        <v>469</v>
      </c>
      <c r="E65" s="8" t="n">
        <f aca="false">VALUE(LEFT(D65,4))</f>
        <v>1983</v>
      </c>
      <c r="F65" s="6" t="n">
        <f aca="false">IF(LEN(D65)=10,DATE(VALUE(LEFT(D65,4)),VALUE(MID(D65,6,2)),VALUE(RIGHT(D65,2))),IF(LEN(D65)=7,DATE(VALUE(LEFT(D65,4)),VALUE(MID(D65,6,2)),15),DATE(VALUE(LEFT(D65,4)),7,1)))</f>
        <v>30599</v>
      </c>
      <c r="G65" s="6" t="n">
        <f aca="false">INDEX(Acts!$D:$D,MATCH(B65,Acts!$B:$B,0))</f>
        <v>30740</v>
      </c>
      <c r="H65" s="5" t="str">
        <f aca="false">IF(F65&gt;G65,"yes","no")</f>
        <v>no</v>
      </c>
      <c r="I65" s="5" t="s">
        <v>218</v>
      </c>
      <c r="J65" s="5" t="n">
        <v>2</v>
      </c>
      <c r="K65" s="5" t="str">
        <f aca="false">IF(J65="","no","yes")</f>
        <v>yes</v>
      </c>
      <c r="L65" s="5" t="s">
        <v>298</v>
      </c>
      <c r="M65" s="7" t="n">
        <f aca="false">IF(L65="",0,IF(L65="Gold",0.5,IF(L65="Platinum",1,IF(L65="Diamond",10,IF(ISNUMBER(FIND("×",L65)),VALUE(LEFT(L65,FIND("×",L65)-1)),0)))))</f>
        <v>4</v>
      </c>
      <c r="N65" s="5" t="s">
        <v>466</v>
      </c>
      <c r="O65" s="5"/>
    </row>
    <row r="66" customFormat="false" ht="15" hidden="false" customHeight="false" outlineLevel="0" collapsed="false">
      <c r="A66" s="5" t="s">
        <v>470</v>
      </c>
      <c r="B66" s="5" t="s">
        <v>81</v>
      </c>
      <c r="C66" s="5" t="s">
        <v>471</v>
      </c>
      <c r="D66" s="5" t="s">
        <v>472</v>
      </c>
      <c r="E66" s="8" t="n">
        <f aca="false">VALUE(LEFT(D66,4))</f>
        <v>1984</v>
      </c>
      <c r="F66" s="6" t="n">
        <f aca="false">IF(LEN(D66)=10,DATE(VALUE(LEFT(D66,4)),VALUE(MID(D66,6,2)),VALUE(RIGHT(D66,2))),IF(LEN(D66)=7,DATE(VALUE(LEFT(D66,4)),VALUE(MID(D66,6,2)),15),DATE(VALUE(LEFT(D66,4)),7,1)))</f>
        <v>30977</v>
      </c>
      <c r="G66" s="6" t="n">
        <f aca="false">INDEX(Acts!$D:$D,MATCH(B66,Acts!$B:$B,0))</f>
        <v>30740</v>
      </c>
      <c r="H66" s="5" t="str">
        <f aca="false">IF(F66&gt;G66,"yes","no")</f>
        <v>yes</v>
      </c>
      <c r="I66" s="5" t="s">
        <v>218</v>
      </c>
      <c r="J66" s="5" t="n">
        <v>26</v>
      </c>
      <c r="K66" s="5" t="str">
        <f aca="false">IF(J66="","no","yes")</f>
        <v>yes</v>
      </c>
      <c r="L66" s="5" t="s">
        <v>219</v>
      </c>
      <c r="M66" s="7" t="n">
        <f aca="false">IF(L66="",0,IF(L66="Gold",0.5,IF(L66="Platinum",1,IF(L66="Diamond",10,IF(ISNUMBER(FIND("×",L66)),VALUE(LEFT(L66,FIND("×",L66)-1)),0)))))</f>
        <v>1</v>
      </c>
      <c r="N66" s="5" t="s">
        <v>466</v>
      </c>
      <c r="O66" s="5"/>
    </row>
    <row r="67" customFormat="false" ht="15" hidden="false" customHeight="false" outlineLevel="0" collapsed="false">
      <c r="A67" s="5" t="s">
        <v>473</v>
      </c>
      <c r="B67" s="5" t="s">
        <v>81</v>
      </c>
      <c r="C67" s="5" t="s">
        <v>474</v>
      </c>
      <c r="D67" s="5" t="s">
        <v>475</v>
      </c>
      <c r="E67" s="8" t="n">
        <f aca="false">VALUE(LEFT(D67,4))</f>
        <v>1986</v>
      </c>
      <c r="F67" s="6" t="n">
        <f aca="false">IF(LEN(D67)=10,DATE(VALUE(LEFT(D67,4)),VALUE(MID(D67,6,2)),VALUE(RIGHT(D67,2))),IF(LEN(D67)=7,DATE(VALUE(LEFT(D67,4)),VALUE(MID(D67,6,2)),15),DATE(VALUE(LEFT(D67,4)),7,1)))</f>
        <v>31503</v>
      </c>
      <c r="G67" s="6" t="n">
        <f aca="false">INDEX(Acts!$D:$D,MATCH(B67,Acts!$B:$B,0))</f>
        <v>30740</v>
      </c>
      <c r="H67" s="5" t="str">
        <f aca="false">IF(F67&gt;G67,"yes","no")</f>
        <v>yes</v>
      </c>
      <c r="I67" s="5" t="s">
        <v>218</v>
      </c>
      <c r="J67" s="5" t="n">
        <v>32</v>
      </c>
      <c r="K67" s="5" t="str">
        <f aca="false">IF(J67="","no","yes")</f>
        <v>yes</v>
      </c>
      <c r="L67" s="5"/>
      <c r="M67" s="7" t="n">
        <f aca="false">IF(L67="",0,IF(L67="Gold",0.5,IF(L67="Platinum",1,IF(L67="Diamond",10,IF(ISNUMBER(FIND("×",L67)),VALUE(LEFT(L67,FIND("×",L67)-1)),0)))))</f>
        <v>0</v>
      </c>
      <c r="N67" s="5" t="s">
        <v>466</v>
      </c>
      <c r="O67" s="5"/>
    </row>
    <row r="68" customFormat="false" ht="15" hidden="false" customHeight="false" outlineLevel="0" collapsed="false">
      <c r="A68" s="5" t="s">
        <v>476</v>
      </c>
      <c r="B68" s="5" t="s">
        <v>81</v>
      </c>
      <c r="C68" s="5" t="s">
        <v>477</v>
      </c>
      <c r="D68" s="5" t="s">
        <v>478</v>
      </c>
      <c r="E68" s="8" t="n">
        <f aca="false">VALUE(LEFT(D68,4))</f>
        <v>1999</v>
      </c>
      <c r="F68" s="6" t="n">
        <f aca="false">IF(LEN(D68)=10,DATE(VALUE(LEFT(D68,4)),VALUE(MID(D68,6,2)),VALUE(RIGHT(D68,2))),IF(LEN(D68)=7,DATE(VALUE(LEFT(D68,4)),VALUE(MID(D68,6,2)),15),DATE(VALUE(LEFT(D68,4)),7,1)))</f>
        <v>36486</v>
      </c>
      <c r="G68" s="6" t="n">
        <f aca="false">INDEX(Acts!$D:$D,MATCH(B68,Acts!$B:$B,0))</f>
        <v>30740</v>
      </c>
      <c r="H68" s="5" t="str">
        <f aca="false">IF(F68&gt;G68,"yes","no")</f>
        <v>yes</v>
      </c>
      <c r="I68" s="5" t="s">
        <v>240</v>
      </c>
      <c r="J68" s="5"/>
      <c r="K68" s="5" t="str">
        <f aca="false">IF(J68="","no","yes")</f>
        <v>no</v>
      </c>
      <c r="L68" s="5"/>
      <c r="M68" s="7" t="n">
        <f aca="false">IF(L68="",0,IF(L68="Gold",0.5,IF(L68="Platinum",1,IF(L68="Diamond",10,IF(ISNUMBER(FIND("×",L68)),VALUE(LEFT(L68,FIND("×",L68)-1)),0)))))</f>
        <v>0</v>
      </c>
      <c r="N68" s="5" t="s">
        <v>466</v>
      </c>
      <c r="O68" s="5" t="s">
        <v>479</v>
      </c>
    </row>
    <row r="69" customFormat="false" ht="15" hidden="false" customHeight="false" outlineLevel="0" collapsed="false">
      <c r="A69" s="5" t="s">
        <v>480</v>
      </c>
      <c r="B69" s="5" t="s">
        <v>81</v>
      </c>
      <c r="C69" s="5" t="s">
        <v>481</v>
      </c>
      <c r="D69" s="5" t="s">
        <v>482</v>
      </c>
      <c r="E69" s="8" t="n">
        <f aca="false">VALUE(LEFT(D69,4))</f>
        <v>2018</v>
      </c>
      <c r="F69" s="6" t="n">
        <f aca="false">IF(LEN(D69)=10,DATE(VALUE(LEFT(D69,4)),VALUE(MID(D69,6,2)),VALUE(RIGHT(D69,2))),IF(LEN(D69)=7,DATE(VALUE(LEFT(D69,4)),VALUE(MID(D69,6,2)),15),DATE(VALUE(LEFT(D69,4)),7,1)))</f>
        <v>43399</v>
      </c>
      <c r="G69" s="6" t="n">
        <f aca="false">INDEX(Acts!$D:$D,MATCH(B69,Acts!$B:$B,0))</f>
        <v>30740</v>
      </c>
      <c r="H69" s="5" t="str">
        <f aca="false">IF(F69&gt;G69,"yes","no")</f>
        <v>yes</v>
      </c>
      <c r="I69" s="5" t="s">
        <v>230</v>
      </c>
      <c r="J69" s="5"/>
      <c r="K69" s="5" t="str">
        <f aca="false">IF(J69="","no","yes")</f>
        <v>no</v>
      </c>
      <c r="L69" s="5"/>
      <c r="M69" s="7" t="n">
        <f aca="false">IF(L69="",0,IF(L69="Gold",0.5,IF(L69="Platinum",1,IF(L69="Diamond",10,IF(ISNUMBER(FIND("×",L69)),VALUE(LEFT(L69,FIND("×",L69)-1)),0)))))</f>
        <v>0</v>
      </c>
      <c r="N69" s="5" t="s">
        <v>466</v>
      </c>
      <c r="O69" s="5" t="s">
        <v>483</v>
      </c>
    </row>
    <row r="70" customFormat="false" ht="15" hidden="false" customHeight="false" outlineLevel="0" collapsed="false">
      <c r="A70" s="5" t="s">
        <v>484</v>
      </c>
      <c r="B70" s="5" t="s">
        <v>84</v>
      </c>
      <c r="C70" s="5" t="s">
        <v>485</v>
      </c>
      <c r="D70" s="5" t="s">
        <v>486</v>
      </c>
      <c r="E70" s="8" t="n">
        <f aca="false">VALUE(LEFT(D70,4))</f>
        <v>1986</v>
      </c>
      <c r="F70" s="6" t="n">
        <f aca="false">IF(LEN(D70)=10,DATE(VALUE(LEFT(D70,4)),VALUE(MID(D70,6,2)),VALUE(RIGHT(D70,2))),IF(LEN(D70)=7,DATE(VALUE(LEFT(D70,4)),VALUE(MID(D70,6,2)),15),DATE(VALUE(LEFT(D70,4)),7,1)))</f>
        <v>31731</v>
      </c>
      <c r="G70" s="6" t="n">
        <f aca="false">INDEX(Acts!$D:$D,MATCH(B70,Acts!$B:$B,0))</f>
        <v>32204</v>
      </c>
      <c r="H70" s="5" t="str">
        <f aca="false">IF(F70&gt;G70,"yes","no")</f>
        <v>no</v>
      </c>
      <c r="I70" s="5" t="s">
        <v>218</v>
      </c>
      <c r="J70" s="5" t="n">
        <v>16</v>
      </c>
      <c r="K70" s="5" t="str">
        <f aca="false">IF(J70="","no","yes")</f>
        <v>yes</v>
      </c>
      <c r="L70" s="5" t="s">
        <v>271</v>
      </c>
      <c r="M70" s="7" t="n">
        <f aca="false">IF(L70="",0,IF(L70="Gold",0.5,IF(L70="Platinum",1,IF(L70="Diamond",10,IF(ISNUMBER(FIND("×",L70)),VALUE(LEFT(L70,FIND("×",L70)-1)),0)))))</f>
        <v>0.5</v>
      </c>
      <c r="N70" s="5" t="s">
        <v>487</v>
      </c>
      <c r="O70" s="5"/>
    </row>
    <row r="71" customFormat="false" ht="15" hidden="false" customHeight="false" outlineLevel="0" collapsed="false">
      <c r="A71" s="5" t="s">
        <v>488</v>
      </c>
      <c r="B71" s="5" t="s">
        <v>84</v>
      </c>
      <c r="C71" s="5" t="s">
        <v>489</v>
      </c>
      <c r="D71" s="5" t="s">
        <v>490</v>
      </c>
      <c r="E71" s="8" t="n">
        <f aca="false">VALUE(LEFT(D71,4))</f>
        <v>1989</v>
      </c>
      <c r="F71" s="6" t="n">
        <f aca="false">IF(LEN(D71)=10,DATE(VALUE(LEFT(D71,4)),VALUE(MID(D71,6,2)),VALUE(RIGHT(D71,2))),IF(LEN(D71)=7,DATE(VALUE(LEFT(D71,4)),VALUE(MID(D71,6,2)),15),DATE(VALUE(LEFT(D71,4)),7,1)))</f>
        <v>32644</v>
      </c>
      <c r="G71" s="6" t="n">
        <f aca="false">INDEX(Acts!$D:$D,MATCH(B71,Acts!$B:$B,0))</f>
        <v>32204</v>
      </c>
      <c r="H71" s="5" t="str">
        <f aca="false">IF(F71&gt;G71,"yes","no")</f>
        <v>yes</v>
      </c>
      <c r="I71" s="5" t="s">
        <v>218</v>
      </c>
      <c r="J71" s="5" t="n">
        <v>150</v>
      </c>
      <c r="K71" s="5" t="str">
        <f aca="false">IF(J71="","no","yes")</f>
        <v>yes</v>
      </c>
      <c r="L71" s="5"/>
      <c r="M71" s="7" t="n">
        <f aca="false">IF(L71="",0,IF(L71="Gold",0.5,IF(L71="Platinum",1,IF(L71="Diamond",10,IF(ISNUMBER(FIND("×",L71)),VALUE(LEFT(L71,FIND("×",L71)-1)),0)))))</f>
        <v>0</v>
      </c>
      <c r="N71" s="5" t="s">
        <v>487</v>
      </c>
      <c r="O71" s="5"/>
    </row>
    <row r="72" customFormat="false" ht="15" hidden="false" customHeight="false" outlineLevel="0" collapsed="false">
      <c r="A72" s="5" t="s">
        <v>491</v>
      </c>
      <c r="B72" s="5" t="s">
        <v>84</v>
      </c>
      <c r="C72" s="5" t="s">
        <v>492</v>
      </c>
      <c r="D72" s="5" t="s">
        <v>493</v>
      </c>
      <c r="E72" s="8" t="n">
        <f aca="false">VALUE(LEFT(D72,4))</f>
        <v>1992</v>
      </c>
      <c r="F72" s="6" t="n">
        <f aca="false">IF(LEN(D72)=10,DATE(VALUE(LEFT(D72,4)),VALUE(MID(D72,6,2)),VALUE(RIGHT(D72,2))),IF(LEN(D72)=7,DATE(VALUE(LEFT(D72,4)),VALUE(MID(D72,6,2)),15),DATE(VALUE(LEFT(D72,4)),7,1)))</f>
        <v>33819</v>
      </c>
      <c r="G72" s="6" t="n">
        <f aca="false">INDEX(Acts!$D:$D,MATCH(B72,Acts!$B:$B,0))</f>
        <v>32204</v>
      </c>
      <c r="H72" s="5" t="str">
        <f aca="false">IF(F72&gt;G72,"yes","no")</f>
        <v>yes</v>
      </c>
      <c r="I72" s="5" t="s">
        <v>230</v>
      </c>
      <c r="J72" s="5"/>
      <c r="K72" s="5" t="str">
        <f aca="false">IF(J72="","no","yes")</f>
        <v>no</v>
      </c>
      <c r="L72" s="5"/>
      <c r="M72" s="7" t="n">
        <f aca="false">IF(L72="",0,IF(L72="Gold",0.5,IF(L72="Platinum",1,IF(L72="Diamond",10,IF(ISNUMBER(FIND("×",L72)),VALUE(LEFT(L72,FIND("×",L72)-1)),0)))))</f>
        <v>0</v>
      </c>
      <c r="N72" s="5" t="s">
        <v>487</v>
      </c>
      <c r="O72" s="5" t="s">
        <v>494</v>
      </c>
    </row>
    <row r="73" customFormat="false" ht="15" hidden="false" customHeight="false" outlineLevel="0" collapsed="false">
      <c r="A73" s="5" t="s">
        <v>495</v>
      </c>
      <c r="B73" s="5" t="s">
        <v>84</v>
      </c>
      <c r="C73" s="5" t="s">
        <v>496</v>
      </c>
      <c r="D73" s="5" t="s">
        <v>497</v>
      </c>
      <c r="E73" s="8" t="n">
        <f aca="false">VALUE(LEFT(D73,4))</f>
        <v>2006</v>
      </c>
      <c r="F73" s="6" t="n">
        <f aca="false">IF(LEN(D73)=10,DATE(VALUE(LEFT(D73,4)),VALUE(MID(D73,6,2)),VALUE(RIGHT(D73,2))),IF(LEN(D73)=7,DATE(VALUE(LEFT(D73,4)),VALUE(MID(D73,6,2)),15),DATE(VALUE(LEFT(D73,4)),7,1)))</f>
        <v>38782</v>
      </c>
      <c r="G73" s="6" t="n">
        <f aca="false">INDEX(Acts!$D:$D,MATCH(B73,Acts!$B:$B,0))</f>
        <v>32204</v>
      </c>
      <c r="H73" s="5" t="str">
        <f aca="false">IF(F73&gt;G73,"yes","no")</f>
        <v>yes</v>
      </c>
      <c r="I73" s="5" t="s">
        <v>230</v>
      </c>
      <c r="J73" s="5"/>
      <c r="K73" s="5" t="str">
        <f aca="false">IF(J73="","no","yes")</f>
        <v>no</v>
      </c>
      <c r="L73" s="5"/>
      <c r="M73" s="7" t="n">
        <f aca="false">IF(L73="",0,IF(L73="Gold",0.5,IF(L73="Platinum",1,IF(L73="Diamond",10,IF(ISNUMBER(FIND("×",L73)),VALUE(LEFT(L73,FIND("×",L73)-1)),0)))))</f>
        <v>0</v>
      </c>
      <c r="N73" s="5" t="s">
        <v>487</v>
      </c>
      <c r="O73" s="5" t="s">
        <v>494</v>
      </c>
    </row>
    <row r="74" customFormat="false" ht="15" hidden="false" customHeight="false" outlineLevel="0" collapsed="false">
      <c r="A74" s="5" t="s">
        <v>498</v>
      </c>
      <c r="B74" s="5" t="s">
        <v>84</v>
      </c>
      <c r="C74" s="5" t="s">
        <v>499</v>
      </c>
      <c r="D74" s="5" t="s">
        <v>500</v>
      </c>
      <c r="E74" s="8" t="n">
        <f aca="false">VALUE(LEFT(D74,4))</f>
        <v>2015</v>
      </c>
      <c r="F74" s="6" t="n">
        <f aca="false">IF(LEN(D74)=10,DATE(VALUE(LEFT(D74,4)),VALUE(MID(D74,6,2)),VALUE(RIGHT(D74,2))),IF(LEN(D74)=7,DATE(VALUE(LEFT(D74,4)),VALUE(MID(D74,6,2)),15),DATE(VALUE(LEFT(D74,4)),7,1)))</f>
        <v>42279</v>
      </c>
      <c r="G74" s="6" t="n">
        <f aca="false">INDEX(Acts!$D:$D,MATCH(B74,Acts!$B:$B,0))</f>
        <v>32204</v>
      </c>
      <c r="H74" s="5" t="str">
        <f aca="false">IF(F74&gt;G74,"yes","no")</f>
        <v>yes</v>
      </c>
      <c r="I74" s="5" t="s">
        <v>230</v>
      </c>
      <c r="J74" s="5"/>
      <c r="K74" s="5" t="str">
        <f aca="false">IF(J74="","no","yes")</f>
        <v>no</v>
      </c>
      <c r="L74" s="5"/>
      <c r="M74" s="7" t="n">
        <f aca="false">IF(L74="",0,IF(L74="Gold",0.5,IF(L74="Platinum",1,IF(L74="Diamond",10,IF(ISNUMBER(FIND("×",L74)),VALUE(LEFT(L74,FIND("×",L74)-1)),0)))))</f>
        <v>0</v>
      </c>
      <c r="N74" s="5" t="s">
        <v>487</v>
      </c>
      <c r="O74" s="5" t="s">
        <v>494</v>
      </c>
    </row>
    <row r="75" customFormat="false" ht="15" hidden="false" customHeight="false" outlineLevel="0" collapsed="false">
      <c r="A75" s="5" t="s">
        <v>501</v>
      </c>
      <c r="B75" s="5" t="s">
        <v>87</v>
      </c>
      <c r="C75" s="5" t="s">
        <v>502</v>
      </c>
      <c r="D75" s="5" t="s">
        <v>503</v>
      </c>
      <c r="E75" s="8" t="n">
        <f aca="false">VALUE(LEFT(D75,4))</f>
        <v>1983</v>
      </c>
      <c r="F75" s="6" t="n">
        <f aca="false">IF(LEN(D75)=10,DATE(VALUE(LEFT(D75,4)),VALUE(MID(D75,6,2)),VALUE(RIGHT(D75,2))),IF(LEN(D75)=7,DATE(VALUE(LEFT(D75,4)),VALUE(MID(D75,6,2)),15),DATE(VALUE(LEFT(D75,4)),7,1)))</f>
        <v>30604</v>
      </c>
      <c r="G75" s="6" t="n">
        <f aca="false">INDEX(Acts!$D:$D,MATCH(B75,Acts!$B:$B,0))</f>
        <v>31104</v>
      </c>
      <c r="H75" s="5" t="str">
        <f aca="false">IF(F75&gt;G75,"yes","no")</f>
        <v>no</v>
      </c>
      <c r="I75" s="5" t="s">
        <v>218</v>
      </c>
      <c r="J75" s="5" t="n">
        <v>4</v>
      </c>
      <c r="K75" s="5" t="str">
        <f aca="false">IF(J75="","no","yes")</f>
        <v>yes</v>
      </c>
      <c r="L75" s="5" t="s">
        <v>504</v>
      </c>
      <c r="M75" s="7" t="n">
        <f aca="false">IF(L75="",0,IF(L75="Gold",0.5,IF(L75="Platinum",1,IF(L75="Diamond",10,IF(ISNUMBER(FIND("×",L75)),VALUE(LEFT(L75,FIND("×",L75)-1)),0)))))</f>
        <v>7</v>
      </c>
      <c r="N75" s="5" t="s">
        <v>505</v>
      </c>
      <c r="O75" s="5" t="s">
        <v>506</v>
      </c>
    </row>
    <row r="76" customFormat="false" ht="15" hidden="false" customHeight="false" outlineLevel="0" collapsed="false">
      <c r="A76" s="5" t="s">
        <v>507</v>
      </c>
      <c r="B76" s="5" t="s">
        <v>87</v>
      </c>
      <c r="C76" s="5" t="s">
        <v>508</v>
      </c>
      <c r="D76" s="5" t="s">
        <v>509</v>
      </c>
      <c r="E76" s="8" t="n">
        <f aca="false">VALUE(LEFT(D76,4))</f>
        <v>1986</v>
      </c>
      <c r="F76" s="6" t="n">
        <f aca="false">IF(LEN(D76)=10,DATE(VALUE(LEFT(D76,4)),VALUE(MID(D76,6,2)),VALUE(RIGHT(D76,2))),IF(LEN(D76)=7,DATE(VALUE(LEFT(D76,4)),VALUE(MID(D76,6,2)),15),DATE(VALUE(LEFT(D76,4)),7,1)))</f>
        <v>31670</v>
      </c>
      <c r="G76" s="6" t="n">
        <f aca="false">INDEX(Acts!$D:$D,MATCH(B76,Acts!$B:$B,0))</f>
        <v>31104</v>
      </c>
      <c r="H76" s="5" t="str">
        <f aca="false">IF(F76&gt;G76,"yes","no")</f>
        <v>yes</v>
      </c>
      <c r="I76" s="5" t="s">
        <v>218</v>
      </c>
      <c r="J76" s="5" t="n">
        <v>4</v>
      </c>
      <c r="K76" s="5" t="str">
        <f aca="false">IF(J76="","no","yes")</f>
        <v>yes</v>
      </c>
      <c r="L76" s="5" t="s">
        <v>510</v>
      </c>
      <c r="M76" s="7" t="n">
        <f aca="false">IF(L76="",0,IF(L76="Gold",0.5,IF(L76="Platinum",1,IF(L76="Diamond",10,IF(ISNUMBER(FIND("×",L76)),VALUE(LEFT(L76,FIND("×",L76)-1)),0)))))</f>
        <v>2</v>
      </c>
      <c r="N76" s="5" t="s">
        <v>505</v>
      </c>
      <c r="O76" s="5" t="s">
        <v>511</v>
      </c>
    </row>
    <row r="77" customFormat="false" ht="15" hidden="false" customHeight="false" outlineLevel="0" collapsed="false">
      <c r="A77" s="5" t="s">
        <v>512</v>
      </c>
      <c r="B77" s="5" t="s">
        <v>87</v>
      </c>
      <c r="C77" s="5" t="s">
        <v>513</v>
      </c>
      <c r="D77" s="5" t="s">
        <v>514</v>
      </c>
      <c r="E77" s="8" t="n">
        <f aca="false">VALUE(LEFT(D77,4))</f>
        <v>1989</v>
      </c>
      <c r="F77" s="6" t="n">
        <f aca="false">IF(LEN(D77)=10,DATE(VALUE(LEFT(D77,4)),VALUE(MID(D77,6,2)),VALUE(RIGHT(D77,2))),IF(LEN(D77)=7,DATE(VALUE(LEFT(D77,4)),VALUE(MID(D77,6,2)),15),DATE(VALUE(LEFT(D77,4)),7,1)))</f>
        <v>32643</v>
      </c>
      <c r="G77" s="6" t="n">
        <f aca="false">INDEX(Acts!$D:$D,MATCH(B77,Acts!$B:$B,0))</f>
        <v>31104</v>
      </c>
      <c r="H77" s="5" t="str">
        <f aca="false">IF(F77&gt;G77,"yes","no")</f>
        <v>yes</v>
      </c>
      <c r="I77" s="5" t="s">
        <v>218</v>
      </c>
      <c r="J77" s="5" t="n">
        <v>37</v>
      </c>
      <c r="K77" s="5" t="str">
        <f aca="false">IF(J77="","no","yes")</f>
        <v>yes</v>
      </c>
      <c r="L77" s="5"/>
      <c r="M77" s="7" t="n">
        <f aca="false">IF(L77="",0,IF(L77="Gold",0.5,IF(L77="Platinum",1,IF(L77="Diamond",10,IF(ISNUMBER(FIND("×",L77)),VALUE(LEFT(L77,FIND("×",L77)-1)),0)))))</f>
        <v>0</v>
      </c>
      <c r="N77" s="5" t="s">
        <v>505</v>
      </c>
      <c r="O77" s="5" t="s">
        <v>515</v>
      </c>
    </row>
    <row r="78" customFormat="false" ht="15" hidden="false" customHeight="false" outlineLevel="0" collapsed="false">
      <c r="A78" s="5" t="s">
        <v>516</v>
      </c>
      <c r="B78" s="5" t="s">
        <v>87</v>
      </c>
      <c r="C78" s="5" t="s">
        <v>517</v>
      </c>
      <c r="D78" s="5" t="s">
        <v>518</v>
      </c>
      <c r="E78" s="8" t="n">
        <f aca="false">VALUE(LEFT(D78,4))</f>
        <v>1993</v>
      </c>
      <c r="F78" s="6" t="n">
        <f aca="false">IF(LEN(D78)=10,DATE(VALUE(LEFT(D78,4)),VALUE(MID(D78,6,2)),VALUE(RIGHT(D78,2))),IF(LEN(D78)=7,DATE(VALUE(LEFT(D78,4)),VALUE(MID(D78,6,2)),15),DATE(VALUE(LEFT(D78,4)),7,1)))</f>
        <v>34150</v>
      </c>
      <c r="G78" s="6" t="n">
        <f aca="false">INDEX(Acts!$D:$D,MATCH(B78,Acts!$B:$B,0))</f>
        <v>31104</v>
      </c>
      <c r="H78" s="5" t="str">
        <f aca="false">IF(F78&gt;G78,"yes","no")</f>
        <v>yes</v>
      </c>
      <c r="I78" s="5" t="s">
        <v>218</v>
      </c>
      <c r="J78" s="5" t="n">
        <v>112</v>
      </c>
      <c r="K78" s="5" t="str">
        <f aca="false">IF(J78="","no","yes")</f>
        <v>yes</v>
      </c>
      <c r="L78" s="5"/>
      <c r="M78" s="7" t="n">
        <f aca="false">IF(L78="",0,IF(L78="Gold",0.5,IF(L78="Platinum",1,IF(L78="Diamond",10,IF(ISNUMBER(FIND("×",L78)),VALUE(LEFT(L78,FIND("×",L78)-1)),0)))))</f>
        <v>0</v>
      </c>
      <c r="N78" s="5" t="s">
        <v>505</v>
      </c>
      <c r="O78" s="5"/>
    </row>
    <row r="79" customFormat="false" ht="15" hidden="false" customHeight="false" outlineLevel="0" collapsed="false">
      <c r="A79" s="5" t="s">
        <v>519</v>
      </c>
      <c r="B79" s="5" t="s">
        <v>87</v>
      </c>
      <c r="C79" s="5" t="s">
        <v>520</v>
      </c>
      <c r="D79" s="5" t="s">
        <v>521</v>
      </c>
      <c r="E79" s="8" t="n">
        <f aca="false">VALUE(LEFT(D79,4))</f>
        <v>1996</v>
      </c>
      <c r="F79" s="6" t="n">
        <f aca="false">IF(LEN(D79)=10,DATE(VALUE(LEFT(D79,4)),VALUE(MID(D79,6,2)),VALUE(RIGHT(D79,2))),IF(LEN(D79)=7,DATE(VALUE(LEFT(D79,4)),VALUE(MID(D79,6,2)),15),DATE(VALUE(LEFT(D79,4)),7,1)))</f>
        <v>35354</v>
      </c>
      <c r="G79" s="6" t="n">
        <f aca="false">INDEX(Acts!$D:$D,MATCH(B79,Acts!$B:$B,0))</f>
        <v>31104</v>
      </c>
      <c r="H79" s="5" t="str">
        <f aca="false">IF(F79&gt;G79,"yes","no")</f>
        <v>yes</v>
      </c>
      <c r="I79" s="5" t="s">
        <v>218</v>
      </c>
      <c r="J79" s="5" t="n">
        <v>188</v>
      </c>
      <c r="K79" s="5" t="str">
        <f aca="false">IF(J79="","no","yes")</f>
        <v>yes</v>
      </c>
      <c r="L79" s="5"/>
      <c r="M79" s="7" t="n">
        <f aca="false">IF(L79="",0,IF(L79="Gold",0.5,IF(L79="Platinum",1,IF(L79="Diamond",10,IF(ISNUMBER(FIND("×",L79)),VALUE(LEFT(L79,FIND("×",L79)-1)),0)))))</f>
        <v>0</v>
      </c>
      <c r="N79" s="5" t="s">
        <v>505</v>
      </c>
      <c r="O79" s="5"/>
    </row>
    <row r="80" customFormat="false" ht="15" hidden="false" customHeight="false" outlineLevel="0" collapsed="false">
      <c r="A80" s="5" t="s">
        <v>522</v>
      </c>
      <c r="B80" s="5" t="s">
        <v>87</v>
      </c>
      <c r="C80" s="5" t="s">
        <v>523</v>
      </c>
      <c r="D80" s="5" t="s">
        <v>524</v>
      </c>
      <c r="E80" s="8" t="n">
        <f aca="false">VALUE(LEFT(D80,4))</f>
        <v>1998</v>
      </c>
      <c r="F80" s="6" t="n">
        <f aca="false">IF(LEN(D80)=10,DATE(VALUE(LEFT(D80,4)),VALUE(MID(D80,6,2)),VALUE(RIGHT(D80,2))),IF(LEN(D80)=7,DATE(VALUE(LEFT(D80,4)),VALUE(MID(D80,6,2)),15),DATE(VALUE(LEFT(D80,4)),7,1)))</f>
        <v>36095</v>
      </c>
      <c r="G80" s="6" t="n">
        <f aca="false">INDEX(Acts!$D:$D,MATCH(B80,Acts!$B:$B,0))</f>
        <v>31104</v>
      </c>
      <c r="H80" s="5" t="str">
        <f aca="false">IF(F80&gt;G80,"yes","no")</f>
        <v>yes</v>
      </c>
      <c r="I80" s="5" t="s">
        <v>218</v>
      </c>
      <c r="J80" s="5"/>
      <c r="K80" s="5" t="str">
        <f aca="false">IF(J80="","no","yes")</f>
        <v>no</v>
      </c>
      <c r="L80" s="5"/>
      <c r="M80" s="7" t="n">
        <f aca="false">IF(L80="",0,IF(L80="Gold",0.5,IF(L80="Platinum",1,IF(L80="Diamond",10,IF(ISNUMBER(FIND("×",L80)),VALUE(LEFT(L80,FIND("×",L80)-1)),0)))))</f>
        <v>0</v>
      </c>
      <c r="N80" s="5" t="s">
        <v>525</v>
      </c>
      <c r="O80" s="5" t="s">
        <v>526</v>
      </c>
    </row>
    <row r="81" customFormat="false" ht="15" hidden="false" customHeight="false" outlineLevel="0" collapsed="false">
      <c r="A81" s="5" t="s">
        <v>527</v>
      </c>
      <c r="B81" s="5" t="s">
        <v>87</v>
      </c>
      <c r="C81" s="5" t="s">
        <v>528</v>
      </c>
      <c r="D81" s="5" t="s">
        <v>529</v>
      </c>
      <c r="E81" s="8" t="n">
        <f aca="false">VALUE(LEFT(D81,4))</f>
        <v>2003</v>
      </c>
      <c r="F81" s="6" t="n">
        <f aca="false">IF(LEN(D81)=10,DATE(VALUE(LEFT(D81,4)),VALUE(MID(D81,6,2)),VALUE(RIGHT(D81,2))),IF(LEN(D81)=7,DATE(VALUE(LEFT(D81,4)),VALUE(MID(D81,6,2)),15),DATE(VALUE(LEFT(D81,4)),7,1)))</f>
        <v>37943</v>
      </c>
      <c r="G81" s="6" t="n">
        <f aca="false">INDEX(Acts!$D:$D,MATCH(B81,Acts!$B:$B,0))</f>
        <v>31104</v>
      </c>
      <c r="H81" s="5" t="str">
        <f aca="false">IF(F81&gt;G81,"yes","no")</f>
        <v>yes</v>
      </c>
      <c r="I81" s="5" t="s">
        <v>218</v>
      </c>
      <c r="J81" s="5" t="n">
        <v>38</v>
      </c>
      <c r="K81" s="5" t="str">
        <f aca="false">IF(J81="","no","yes")</f>
        <v>yes</v>
      </c>
      <c r="L81" s="5"/>
      <c r="M81" s="7" t="n">
        <f aca="false">IF(L81="",0,IF(L81="Gold",0.5,IF(L81="Platinum",1,IF(L81="Diamond",10,IF(ISNUMBER(FIND("×",L81)),VALUE(LEFT(L81,FIND("×",L81)-1)),0)))))</f>
        <v>0</v>
      </c>
      <c r="N81" s="5" t="s">
        <v>505</v>
      </c>
      <c r="O81" s="5"/>
    </row>
    <row r="82" customFormat="false" ht="15" hidden="false" customHeight="false" outlineLevel="0" collapsed="false">
      <c r="A82" s="5" t="s">
        <v>530</v>
      </c>
      <c r="B82" s="5" t="s">
        <v>87</v>
      </c>
      <c r="C82" s="5" t="s">
        <v>531</v>
      </c>
      <c r="D82" s="5" t="s">
        <v>532</v>
      </c>
      <c r="E82" s="8" t="n">
        <f aca="false">VALUE(LEFT(D82,4))</f>
        <v>2004</v>
      </c>
      <c r="F82" s="6" t="n">
        <f aca="false">IF(LEN(D82)=10,DATE(VALUE(LEFT(D82,4)),VALUE(MID(D82,6,2)),VALUE(RIGHT(D82,2))),IF(LEN(D82)=7,DATE(VALUE(LEFT(D82,4)),VALUE(MID(D82,6,2)),15),DATE(VALUE(LEFT(D82,4)),7,1)))</f>
        <v>38110</v>
      </c>
      <c r="G82" s="6" t="n">
        <f aca="false">INDEX(Acts!$D:$D,MATCH(B82,Acts!$B:$B,0))</f>
        <v>31104</v>
      </c>
      <c r="H82" s="5" t="str">
        <f aca="false">IF(F82&gt;G82,"yes","no")</f>
        <v>yes</v>
      </c>
      <c r="I82" s="5" t="s">
        <v>240</v>
      </c>
      <c r="J82" s="5"/>
      <c r="K82" s="5" t="str">
        <f aca="false">IF(J82="","no","yes")</f>
        <v>no</v>
      </c>
      <c r="L82" s="5"/>
      <c r="M82" s="7" t="n">
        <f aca="false">IF(L82="",0,IF(L82="Gold",0.5,IF(L82="Platinum",1,IF(L82="Diamond",10,IF(ISNUMBER(FIND("×",L82)),VALUE(LEFT(L82,FIND("×",L82)-1)),0)))))</f>
        <v>0</v>
      </c>
      <c r="N82" s="5" t="s">
        <v>533</v>
      </c>
      <c r="O82" s="5" t="s">
        <v>534</v>
      </c>
    </row>
    <row r="83" customFormat="false" ht="15" hidden="false" customHeight="false" outlineLevel="0" collapsed="false">
      <c r="A83" s="5" t="s">
        <v>535</v>
      </c>
      <c r="B83" s="5" t="s">
        <v>87</v>
      </c>
      <c r="C83" s="5" t="s">
        <v>536</v>
      </c>
      <c r="D83" s="5" t="s">
        <v>537</v>
      </c>
      <c r="E83" s="8" t="n">
        <f aca="false">VALUE(LEFT(D83,4))</f>
        <v>2008</v>
      </c>
      <c r="F83" s="6" t="n">
        <f aca="false">IF(LEN(D83)=10,DATE(VALUE(LEFT(D83,4)),VALUE(MID(D83,6,2)),VALUE(RIGHT(D83,2))),IF(LEN(D83)=7,DATE(VALUE(LEFT(D83,4)),VALUE(MID(D83,6,2)),15),DATE(VALUE(LEFT(D83,4)),7,1)))</f>
        <v>39595</v>
      </c>
      <c r="G83" s="6" t="n">
        <f aca="false">INDEX(Acts!$D:$D,MATCH(B83,Acts!$B:$B,0))</f>
        <v>31104</v>
      </c>
      <c r="H83" s="5" t="str">
        <f aca="false">IF(F83&gt;G83,"yes","no")</f>
        <v>yes</v>
      </c>
      <c r="I83" s="5" t="s">
        <v>218</v>
      </c>
      <c r="J83" s="5" t="n">
        <v>41</v>
      </c>
      <c r="K83" s="5" t="str">
        <f aca="false">IF(J83="","no","yes")</f>
        <v>yes</v>
      </c>
      <c r="L83" s="5"/>
      <c r="M83" s="7" t="n">
        <f aca="false">IF(L83="",0,IF(L83="Gold",0.5,IF(L83="Platinum",1,IF(L83="Diamond",10,IF(ISNUMBER(FIND("×",L83)),VALUE(LEFT(L83,FIND("×",L83)-1)),0)))))</f>
        <v>0</v>
      </c>
      <c r="N83" s="5" t="s">
        <v>505</v>
      </c>
      <c r="O83" s="5"/>
    </row>
    <row r="84" customFormat="false" ht="15" hidden="false" customHeight="false" outlineLevel="0" collapsed="false">
      <c r="A84" s="5" t="s">
        <v>538</v>
      </c>
      <c r="B84" s="5" t="s">
        <v>87</v>
      </c>
      <c r="C84" s="5" t="s">
        <v>539</v>
      </c>
      <c r="D84" s="5" t="s">
        <v>540</v>
      </c>
      <c r="E84" s="8" t="n">
        <f aca="false">VALUE(LEFT(D84,4))</f>
        <v>2010</v>
      </c>
      <c r="F84" s="6" t="n">
        <f aca="false">IF(LEN(D84)=10,DATE(VALUE(LEFT(D84,4)),VALUE(MID(D84,6,2)),VALUE(RIGHT(D84,2))),IF(LEN(D84)=7,DATE(VALUE(LEFT(D84,4)),VALUE(MID(D84,6,2)),15),DATE(VALUE(LEFT(D84,4)),7,1)))</f>
        <v>40351</v>
      </c>
      <c r="G84" s="6" t="n">
        <f aca="false">INDEX(Acts!$D:$D,MATCH(B84,Acts!$B:$B,0))</f>
        <v>31104</v>
      </c>
      <c r="H84" s="5" t="str">
        <f aca="false">IF(F84&gt;G84,"yes","no")</f>
        <v>yes</v>
      </c>
      <c r="I84" s="5" t="s">
        <v>218</v>
      </c>
      <c r="J84" s="5" t="n">
        <v>26</v>
      </c>
      <c r="K84" s="5" t="str">
        <f aca="false">IF(J84="","no","yes")</f>
        <v>yes</v>
      </c>
      <c r="L84" s="5"/>
      <c r="M84" s="7" t="n">
        <f aca="false">IF(L84="",0,IF(L84="Gold",0.5,IF(L84="Platinum",1,IF(L84="Diamond",10,IF(ISNUMBER(FIND("×",L84)),VALUE(LEFT(L84,FIND("×",L84)-1)),0)))))</f>
        <v>0</v>
      </c>
      <c r="N84" s="5" t="s">
        <v>505</v>
      </c>
      <c r="O84" s="5"/>
    </row>
    <row r="85" customFormat="false" ht="15" hidden="false" customHeight="false" outlineLevel="0" collapsed="false">
      <c r="A85" s="5" t="s">
        <v>541</v>
      </c>
      <c r="B85" s="5" t="s">
        <v>87</v>
      </c>
      <c r="C85" s="5" t="s">
        <v>542</v>
      </c>
      <c r="D85" s="5" t="s">
        <v>543</v>
      </c>
      <c r="E85" s="8" t="n">
        <f aca="false">VALUE(LEFT(D85,4))</f>
        <v>2016</v>
      </c>
      <c r="F85" s="6" t="n">
        <f aca="false">IF(LEN(D85)=10,DATE(VALUE(LEFT(D85,4)),VALUE(MID(D85,6,2)),VALUE(RIGHT(D85,2))),IF(LEN(D85)=7,DATE(VALUE(LEFT(D85,4)),VALUE(MID(D85,6,2)),15),DATE(VALUE(LEFT(D85,4)),7,1)))</f>
        <v>42492</v>
      </c>
      <c r="G85" s="6" t="n">
        <f aca="false">INDEX(Acts!$D:$D,MATCH(B85,Acts!$B:$B,0))</f>
        <v>31104</v>
      </c>
      <c r="H85" s="5" t="str">
        <f aca="false">IF(F85&gt;G85,"yes","no")</f>
        <v>yes</v>
      </c>
      <c r="I85" s="5" t="s">
        <v>218</v>
      </c>
      <c r="J85" s="5" t="n">
        <v>29</v>
      </c>
      <c r="K85" s="5" t="str">
        <f aca="false">IF(J85="","no","yes")</f>
        <v>yes</v>
      </c>
      <c r="L85" s="5"/>
      <c r="M85" s="7" t="n">
        <f aca="false">IF(L85="",0,IF(L85="Gold",0.5,IF(L85="Platinum",1,IF(L85="Diamond",10,IF(ISNUMBER(FIND("×",L85)),VALUE(LEFT(L85,FIND("×",L85)-1)),0)))))</f>
        <v>0</v>
      </c>
      <c r="N85" s="5" t="s">
        <v>505</v>
      </c>
      <c r="O85" s="5"/>
    </row>
    <row r="86" customFormat="false" ht="15" hidden="false" customHeight="false" outlineLevel="0" collapsed="false">
      <c r="A86" s="5" t="s">
        <v>544</v>
      </c>
      <c r="B86" s="5" t="s">
        <v>90</v>
      </c>
      <c r="C86" s="5" t="s">
        <v>90</v>
      </c>
      <c r="D86" s="5" t="s">
        <v>545</v>
      </c>
      <c r="E86" s="8" t="n">
        <f aca="false">VALUE(LEFT(D86,4))</f>
        <v>1978</v>
      </c>
      <c r="F86" s="6" t="n">
        <f aca="false">IF(LEN(D86)=10,DATE(VALUE(LEFT(D86,4)),VALUE(MID(D86,6,2)),VALUE(RIGHT(D86,2))),IF(LEN(D86)=7,DATE(VALUE(LEFT(D86,4)),VALUE(MID(D86,6,2)),15),DATE(VALUE(LEFT(D86,4)),7,1)))</f>
        <v>28650</v>
      </c>
      <c r="G86" s="6" t="n">
        <f aca="false">INDEX(Acts!$D:$D,MATCH(B86,Acts!$B:$B,0))</f>
        <v>29278</v>
      </c>
      <c r="H86" s="5" t="str">
        <f aca="false">IF(F86&gt;G86,"yes","no")</f>
        <v>no</v>
      </c>
      <c r="I86" s="5" t="s">
        <v>218</v>
      </c>
      <c r="J86" s="5" t="n">
        <v>2</v>
      </c>
      <c r="K86" s="5" t="str">
        <f aca="false">IF(J86="","no","yes")</f>
        <v>yes</v>
      </c>
      <c r="L86" s="5" t="s">
        <v>510</v>
      </c>
      <c r="M86" s="7" t="n">
        <f aca="false">IF(L86="",0,IF(L86="Gold",0.5,IF(L86="Platinum",1,IF(L86="Diamond",10,IF(ISNUMBER(FIND("×",L86)),VALUE(LEFT(L86,FIND("×",L86)-1)),0)))))</f>
        <v>2</v>
      </c>
      <c r="N86" s="5" t="s">
        <v>546</v>
      </c>
      <c r="O86" s="5"/>
    </row>
    <row r="87" customFormat="false" ht="15" hidden="false" customHeight="false" outlineLevel="0" collapsed="false">
      <c r="A87" s="5" t="s">
        <v>547</v>
      </c>
      <c r="B87" s="5" t="s">
        <v>90</v>
      </c>
      <c r="C87" s="5" t="s">
        <v>548</v>
      </c>
      <c r="D87" s="5" t="s">
        <v>549</v>
      </c>
      <c r="E87" s="8" t="n">
        <f aca="false">VALUE(LEFT(D87,4))</f>
        <v>1979</v>
      </c>
      <c r="F87" s="6" t="n">
        <f aca="false">IF(LEN(D87)=10,DATE(VALUE(LEFT(D87,4)),VALUE(MID(D87,6,2)),VALUE(RIGHT(D87,2))),IF(LEN(D87)=7,DATE(VALUE(LEFT(D87,4)),VALUE(MID(D87,6,2)),15),DATE(VALUE(LEFT(D87,4)),7,1)))</f>
        <v>29011</v>
      </c>
      <c r="G87" s="6" t="n">
        <f aca="false">INDEX(Acts!$D:$D,MATCH(B87,Acts!$B:$B,0))</f>
        <v>29278</v>
      </c>
      <c r="H87" s="5" t="str">
        <f aca="false">IF(F87&gt;G87,"yes","no")</f>
        <v>no</v>
      </c>
      <c r="I87" s="5" t="s">
        <v>218</v>
      </c>
      <c r="J87" s="5" t="n">
        <v>11</v>
      </c>
      <c r="K87" s="5" t="str">
        <f aca="false">IF(J87="","no","yes")</f>
        <v>yes</v>
      </c>
      <c r="L87" s="5" t="s">
        <v>271</v>
      </c>
      <c r="M87" s="7" t="n">
        <f aca="false">IF(L87="",0,IF(L87="Gold",0.5,IF(L87="Platinum",1,IF(L87="Diamond",10,IF(ISNUMBER(FIND("×",L87)),VALUE(LEFT(L87,FIND("×",L87)-1)),0)))))</f>
        <v>0.5</v>
      </c>
      <c r="N87" s="5" t="s">
        <v>546</v>
      </c>
      <c r="O87" s="5"/>
    </row>
    <row r="88" customFormat="false" ht="15" hidden="false" customHeight="false" outlineLevel="0" collapsed="false">
      <c r="A88" s="5" t="s">
        <v>550</v>
      </c>
      <c r="B88" s="5" t="s">
        <v>90</v>
      </c>
      <c r="C88" s="5" t="s">
        <v>551</v>
      </c>
      <c r="D88" s="5" t="s">
        <v>552</v>
      </c>
      <c r="E88" s="8" t="n">
        <f aca="false">VALUE(LEFT(D88,4))</f>
        <v>1980</v>
      </c>
      <c r="F88" s="6" t="n">
        <f aca="false">IF(LEN(D88)=10,DATE(VALUE(LEFT(D88,4)),VALUE(MID(D88,6,2)),VALUE(RIGHT(D88,2))),IF(LEN(D88)=7,DATE(VALUE(LEFT(D88,4)),VALUE(MID(D88,6,2)),15),DATE(VALUE(LEFT(D88,4)),7,1)))</f>
        <v>29511</v>
      </c>
      <c r="G88" s="6" t="n">
        <f aca="false">INDEX(Acts!$D:$D,MATCH(B88,Acts!$B:$B,0))</f>
        <v>29278</v>
      </c>
      <c r="H88" s="5" t="str">
        <f aca="false">IF(F88&gt;G88,"yes","no")</f>
        <v>yes</v>
      </c>
      <c r="I88" s="5" t="s">
        <v>218</v>
      </c>
      <c r="J88" s="5" t="n">
        <v>19</v>
      </c>
      <c r="K88" s="5" t="str">
        <f aca="false">IF(J88="","no","yes")</f>
        <v>yes</v>
      </c>
      <c r="L88" s="5" t="s">
        <v>219</v>
      </c>
      <c r="M88" s="7" t="n">
        <f aca="false">IF(L88="",0,IF(L88="Gold",0.5,IF(L88="Platinum",1,IF(L88="Diamond",10,IF(ISNUMBER(FIND("×",L88)),VALUE(LEFT(L88,FIND("×",L88)-1)),0)))))</f>
        <v>1</v>
      </c>
      <c r="N88" s="5" t="s">
        <v>546</v>
      </c>
      <c r="O88" s="5"/>
    </row>
    <row r="89" customFormat="false" ht="15" hidden="false" customHeight="false" outlineLevel="0" collapsed="false">
      <c r="A89" s="5" t="s">
        <v>553</v>
      </c>
      <c r="B89" s="5" t="s">
        <v>90</v>
      </c>
      <c r="C89" s="5" t="s">
        <v>554</v>
      </c>
      <c r="D89" s="5" t="s">
        <v>555</v>
      </c>
      <c r="E89" s="8" t="n">
        <f aca="false">VALUE(LEFT(D89,4))</f>
        <v>1982</v>
      </c>
      <c r="F89" s="6" t="n">
        <f aca="false">IF(LEN(D89)=10,DATE(VALUE(LEFT(D89,4)),VALUE(MID(D89,6,2)),VALUE(RIGHT(D89,2))),IF(LEN(D89)=7,DATE(VALUE(LEFT(D89,4)),VALUE(MID(D89,6,2)),15),DATE(VALUE(LEFT(D89,4)),7,1)))</f>
        <v>30218</v>
      </c>
      <c r="G89" s="6" t="n">
        <f aca="false">INDEX(Acts!$D:$D,MATCH(B89,Acts!$B:$B,0))</f>
        <v>29278</v>
      </c>
      <c r="H89" s="5" t="str">
        <f aca="false">IF(F89&gt;G89,"yes","no")</f>
        <v>yes</v>
      </c>
      <c r="I89" s="5" t="s">
        <v>218</v>
      </c>
      <c r="J89" s="5" t="n">
        <v>19</v>
      </c>
      <c r="K89" s="5" t="str">
        <f aca="false">IF(J89="","no","yes")</f>
        <v>yes</v>
      </c>
      <c r="L89" s="5" t="s">
        <v>271</v>
      </c>
      <c r="M89" s="7" t="n">
        <f aca="false">IF(L89="",0,IF(L89="Gold",0.5,IF(L89="Platinum",1,IF(L89="Diamond",10,IF(ISNUMBER(FIND("×",L89)),VALUE(LEFT(L89,FIND("×",L89)-1)),0)))))</f>
        <v>0.5</v>
      </c>
      <c r="N89" s="5" t="s">
        <v>546</v>
      </c>
      <c r="O89" s="5"/>
    </row>
    <row r="90" customFormat="false" ht="15" hidden="false" customHeight="false" outlineLevel="0" collapsed="false">
      <c r="A90" s="5" t="s">
        <v>556</v>
      </c>
      <c r="B90" s="5" t="s">
        <v>90</v>
      </c>
      <c r="C90" s="5" t="s">
        <v>557</v>
      </c>
      <c r="D90" s="5" t="s">
        <v>558</v>
      </c>
      <c r="E90" s="8" t="n">
        <f aca="false">VALUE(LEFT(D90,4))</f>
        <v>1985</v>
      </c>
      <c r="F90" s="6" t="n">
        <f aca="false">IF(LEN(D90)=10,DATE(VALUE(LEFT(D90,4)),VALUE(MID(D90,6,2)),VALUE(RIGHT(D90,2))),IF(LEN(D90)=7,DATE(VALUE(LEFT(D90,4)),VALUE(MID(D90,6,2)),15),DATE(VALUE(LEFT(D90,4)),7,1)))</f>
        <v>31184</v>
      </c>
      <c r="G90" s="6" t="n">
        <f aca="false">INDEX(Acts!$D:$D,MATCH(B90,Acts!$B:$B,0))</f>
        <v>29278</v>
      </c>
      <c r="H90" s="5" t="str">
        <f aca="false">IF(F90&gt;G90,"yes","no")</f>
        <v>yes</v>
      </c>
      <c r="I90" s="5" t="s">
        <v>218</v>
      </c>
      <c r="J90" s="5" t="n">
        <v>1</v>
      </c>
      <c r="K90" s="5" t="str">
        <f aca="false">IF(J90="","no","yes")</f>
        <v>yes</v>
      </c>
      <c r="L90" s="5" t="s">
        <v>559</v>
      </c>
      <c r="M90" s="7" t="n">
        <f aca="false">IF(L90="",0,IF(L90="Gold",0.5,IF(L90="Platinum",1,IF(L90="Diamond",10,IF(ISNUMBER(FIND("×",L90)),VALUE(LEFT(L90,FIND("×",L90)-1)),0)))))</f>
        <v>9</v>
      </c>
      <c r="N90" s="5" t="s">
        <v>546</v>
      </c>
      <c r="O90" s="5"/>
    </row>
    <row r="91" customFormat="false" ht="15" hidden="false" customHeight="false" outlineLevel="0" collapsed="false">
      <c r="A91" s="5" t="s">
        <v>560</v>
      </c>
      <c r="B91" s="5" t="s">
        <v>90</v>
      </c>
      <c r="C91" s="5" t="s">
        <v>561</v>
      </c>
      <c r="D91" s="5" t="s">
        <v>562</v>
      </c>
      <c r="E91" s="8" t="n">
        <f aca="false">VALUE(LEFT(D91,4))</f>
        <v>1991</v>
      </c>
      <c r="F91" s="6" t="n">
        <f aca="false">IF(LEN(D91)=10,DATE(VALUE(LEFT(D91,4)),VALUE(MID(D91,6,2)),VALUE(RIGHT(D91,2))),IF(LEN(D91)=7,DATE(VALUE(LEFT(D91,4)),VALUE(MID(D91,6,2)),15),DATE(VALUE(LEFT(D91,4)),7,1)))</f>
        <v>33490</v>
      </c>
      <c r="G91" s="6" t="n">
        <f aca="false">INDEX(Acts!$D:$D,MATCH(B91,Acts!$B:$B,0))</f>
        <v>29278</v>
      </c>
      <c r="H91" s="5" t="str">
        <f aca="false">IF(F91&gt;G91,"yes","no")</f>
        <v>yes</v>
      </c>
      <c r="I91" s="5" t="s">
        <v>218</v>
      </c>
      <c r="J91" s="5" t="n">
        <v>12</v>
      </c>
      <c r="K91" s="5" t="str">
        <f aca="false">IF(J91="","no","yes")</f>
        <v>yes</v>
      </c>
      <c r="L91" s="5" t="s">
        <v>219</v>
      </c>
      <c r="M91" s="7" t="n">
        <f aca="false">IF(L91="",0,IF(L91="Gold",0.5,IF(L91="Platinum",1,IF(L91="Diamond",10,IF(ISNUMBER(FIND("×",L91)),VALUE(LEFT(L91,FIND("×",L91)-1)),0)))))</f>
        <v>1</v>
      </c>
      <c r="N91" s="5" t="s">
        <v>546</v>
      </c>
      <c r="O91" s="5"/>
    </row>
    <row r="92" customFormat="false" ht="15" hidden="false" customHeight="false" outlineLevel="0" collapsed="false">
      <c r="A92" s="5" t="s">
        <v>563</v>
      </c>
      <c r="B92" s="5" t="s">
        <v>93</v>
      </c>
      <c r="C92" s="5" t="s">
        <v>564</v>
      </c>
      <c r="D92" s="5" t="s">
        <v>565</v>
      </c>
      <c r="E92" s="8" t="n">
        <f aca="false">VALUE(LEFT(D92,4))</f>
        <v>1981</v>
      </c>
      <c r="F92" s="6" t="n">
        <f aca="false">IF(LEN(D92)=10,DATE(VALUE(LEFT(D92,4)),VALUE(MID(D92,6,2)),VALUE(RIGHT(D92,2))),IF(LEN(D92)=7,DATE(VALUE(LEFT(D92,4)),VALUE(MID(D92,6,2)),15),DATE(VALUE(LEFT(D92,4)),7,1)))</f>
        <v>29875</v>
      </c>
      <c r="G92" s="6" t="n">
        <f aca="false">INDEX(Acts!$D:$D,MATCH(B92,Acts!$B:$B,0))</f>
        <v>30740</v>
      </c>
      <c r="H92" s="5" t="str">
        <f aca="false">IF(F92&gt;G92,"yes","no")</f>
        <v>no</v>
      </c>
      <c r="I92" s="5" t="s">
        <v>230</v>
      </c>
      <c r="J92" s="5"/>
      <c r="K92" s="5" t="str">
        <f aca="false">IF(J92="","no","yes")</f>
        <v>no</v>
      </c>
      <c r="L92" s="5"/>
      <c r="M92" s="7" t="n">
        <f aca="false">IF(L92="",0,IF(L92="Gold",0.5,IF(L92="Platinum",1,IF(L92="Diamond",10,IF(ISNUMBER(FIND("×",L92)),VALUE(LEFT(L92,FIND("×",L92)-1)),0)))))</f>
        <v>0</v>
      </c>
      <c r="N92" s="5" t="s">
        <v>566</v>
      </c>
      <c r="O92" s="5" t="s">
        <v>567</v>
      </c>
    </row>
    <row r="93" customFormat="false" ht="15" hidden="false" customHeight="false" outlineLevel="0" collapsed="false">
      <c r="A93" s="5" t="s">
        <v>568</v>
      </c>
      <c r="B93" s="5" t="s">
        <v>93</v>
      </c>
      <c r="C93" s="5" t="s">
        <v>569</v>
      </c>
      <c r="D93" s="5" t="s">
        <v>570</v>
      </c>
      <c r="E93" s="8" t="n">
        <f aca="false">VALUE(LEFT(D93,4))</f>
        <v>1983</v>
      </c>
      <c r="F93" s="6" t="n">
        <f aca="false">IF(LEN(D93)=10,DATE(VALUE(LEFT(D93,4)),VALUE(MID(D93,6,2)),VALUE(RIGHT(D93,2))),IF(LEN(D93)=7,DATE(VALUE(LEFT(D93,4)),VALUE(MID(D93,6,2)),15),DATE(VALUE(LEFT(D93,4)),7,1)))</f>
        <v>30320</v>
      </c>
      <c r="G93" s="6" t="n">
        <f aca="false">INDEX(Acts!$D:$D,MATCH(B93,Acts!$B:$B,0))</f>
        <v>30740</v>
      </c>
      <c r="H93" s="5" t="str">
        <f aca="false">IF(F93&gt;G93,"yes","no")</f>
        <v>no</v>
      </c>
      <c r="I93" s="5" t="s">
        <v>218</v>
      </c>
      <c r="J93" s="5" t="n">
        <v>15</v>
      </c>
      <c r="K93" s="5" t="str">
        <f aca="false">IF(J93="","no","yes")</f>
        <v>yes</v>
      </c>
      <c r="L93" s="5" t="s">
        <v>271</v>
      </c>
      <c r="M93" s="7" t="n">
        <f aca="false">IF(L93="",0,IF(L93="Gold",0.5,IF(L93="Platinum",1,IF(L93="Diamond",10,IF(ISNUMBER(FIND("×",L93)),VALUE(LEFT(L93,FIND("×",L93)-1)),0)))))</f>
        <v>0.5</v>
      </c>
      <c r="N93" s="5" t="s">
        <v>566</v>
      </c>
      <c r="O93" s="5"/>
    </row>
    <row r="94" customFormat="false" ht="15" hidden="false" customHeight="false" outlineLevel="0" collapsed="false">
      <c r="A94" s="5" t="s">
        <v>571</v>
      </c>
      <c r="B94" s="5" t="s">
        <v>93</v>
      </c>
      <c r="C94" s="5" t="s">
        <v>572</v>
      </c>
      <c r="D94" s="5" t="s">
        <v>573</v>
      </c>
      <c r="E94" s="8" t="n">
        <f aca="false">VALUE(LEFT(D94,4))</f>
        <v>1983</v>
      </c>
      <c r="F94" s="6" t="n">
        <f aca="false">IF(LEN(D94)=10,DATE(VALUE(LEFT(D94,4)),VALUE(MID(D94,6,2)),VALUE(RIGHT(D94,2))),IF(LEN(D94)=7,DATE(VALUE(LEFT(D94,4)),VALUE(MID(D94,6,2)),15),DATE(VALUE(LEFT(D94,4)),7,1)))</f>
        <v>30634</v>
      </c>
      <c r="G94" s="6" t="n">
        <f aca="false">INDEX(Acts!$D:$D,MATCH(B94,Acts!$B:$B,0))</f>
        <v>30740</v>
      </c>
      <c r="H94" s="5" t="str">
        <f aca="false">IF(F94&gt;G94,"yes","no")</f>
        <v>no</v>
      </c>
      <c r="I94" s="5" t="s">
        <v>218</v>
      </c>
      <c r="J94" s="5" t="n">
        <v>7</v>
      </c>
      <c r="K94" s="5" t="str">
        <f aca="false">IF(J94="","no","yes")</f>
        <v>yes</v>
      </c>
      <c r="L94" s="5" t="s">
        <v>219</v>
      </c>
      <c r="M94" s="7" t="n">
        <f aca="false">IF(L94="",0,IF(L94="Gold",0.5,IF(L94="Platinum",1,IF(L94="Diamond",10,IF(ISNUMBER(FIND("×",L94)),VALUE(LEFT(L94,FIND("×",L94)-1)),0)))))</f>
        <v>1</v>
      </c>
      <c r="N94" s="5" t="s">
        <v>566</v>
      </c>
      <c r="O94" s="5"/>
    </row>
    <row r="95" customFormat="false" ht="15" hidden="false" customHeight="false" outlineLevel="0" collapsed="false">
      <c r="A95" s="5" t="s">
        <v>574</v>
      </c>
      <c r="B95" s="5" t="s">
        <v>93</v>
      </c>
      <c r="C95" s="5" t="s">
        <v>575</v>
      </c>
      <c r="D95" s="5" t="s">
        <v>576</v>
      </c>
      <c r="E95" s="8" t="n">
        <f aca="false">VALUE(LEFT(D95,4))</f>
        <v>1985</v>
      </c>
      <c r="F95" s="6" t="n">
        <f aca="false">IF(LEN(D95)=10,DATE(VALUE(LEFT(D95,4)),VALUE(MID(D95,6,2)),VALUE(RIGHT(D95,2))),IF(LEN(D95)=7,DATE(VALUE(LEFT(D95,4)),VALUE(MID(D95,6,2)),15),DATE(VALUE(LEFT(D95,4)),7,1)))</f>
        <v>31152</v>
      </c>
      <c r="G95" s="6" t="n">
        <f aca="false">INDEX(Acts!$D:$D,MATCH(B95,Acts!$B:$B,0))</f>
        <v>30740</v>
      </c>
      <c r="H95" s="5" t="str">
        <f aca="false">IF(F95&gt;G95,"yes","no")</f>
        <v>yes</v>
      </c>
      <c r="I95" s="5" t="s">
        <v>218</v>
      </c>
      <c r="J95" s="5" t="n">
        <v>9</v>
      </c>
      <c r="K95" s="5" t="str">
        <f aca="false">IF(J95="","no","yes")</f>
        <v>yes</v>
      </c>
      <c r="L95" s="5" t="s">
        <v>219</v>
      </c>
      <c r="M95" s="7" t="n">
        <f aca="false">IF(L95="",0,IF(L95="Gold",0.5,IF(L95="Platinum",1,IF(L95="Diamond",10,IF(ISNUMBER(FIND("×",L95)),VALUE(LEFT(L95,FIND("×",L95)-1)),0)))))</f>
        <v>1</v>
      </c>
      <c r="N95" s="5" t="s">
        <v>566</v>
      </c>
      <c r="O95" s="5"/>
    </row>
    <row r="96" customFormat="false" ht="15" hidden="false" customHeight="false" outlineLevel="0" collapsed="false">
      <c r="A96" s="5" t="s">
        <v>577</v>
      </c>
      <c r="B96" s="5" t="s">
        <v>93</v>
      </c>
      <c r="C96" s="5" t="s">
        <v>578</v>
      </c>
      <c r="D96" s="5" t="s">
        <v>354</v>
      </c>
      <c r="E96" s="8" t="n">
        <f aca="false">VALUE(LEFT(D96,4))</f>
        <v>1986</v>
      </c>
      <c r="F96" s="6" t="n">
        <f aca="false">IF(LEN(D96)=10,DATE(VALUE(LEFT(D96,4)),VALUE(MID(D96,6,2)),VALUE(RIGHT(D96,2))),IF(LEN(D96)=7,DATE(VALUE(LEFT(D96,4)),VALUE(MID(D96,6,2)),15),DATE(VALUE(LEFT(D96,4)),7,1)))</f>
        <v>31593</v>
      </c>
      <c r="G96" s="6" t="n">
        <f aca="false">INDEX(Acts!$D:$D,MATCH(B96,Acts!$B:$B,0))</f>
        <v>30740</v>
      </c>
      <c r="H96" s="5" t="str">
        <f aca="false">IF(F96&gt;G96,"yes","no")</f>
        <v>yes</v>
      </c>
      <c r="I96" s="5" t="s">
        <v>218</v>
      </c>
      <c r="J96" s="5" t="n">
        <v>12</v>
      </c>
      <c r="K96" s="5" t="str">
        <f aca="false">IF(J96="","no","yes")</f>
        <v>yes</v>
      </c>
      <c r="L96" s="5" t="s">
        <v>271</v>
      </c>
      <c r="M96" s="7" t="n">
        <f aca="false">IF(L96="",0,IF(L96="Gold",0.5,IF(L96="Platinum",1,IF(L96="Diamond",10,IF(ISNUMBER(FIND("×",L96)),VALUE(LEFT(L96,FIND("×",L96)-1)),0)))))</f>
        <v>0.5</v>
      </c>
      <c r="N96" s="5" t="s">
        <v>566</v>
      </c>
      <c r="O96" s="5"/>
    </row>
    <row r="97" customFormat="false" ht="15" hidden="false" customHeight="false" outlineLevel="0" collapsed="false">
      <c r="A97" s="5" t="s">
        <v>579</v>
      </c>
      <c r="B97" s="5" t="s">
        <v>93</v>
      </c>
      <c r="C97" s="5" t="s">
        <v>580</v>
      </c>
      <c r="D97" s="5" t="s">
        <v>581</v>
      </c>
      <c r="E97" s="8" t="n">
        <f aca="false">VALUE(LEFT(D97,4))</f>
        <v>1987</v>
      </c>
      <c r="F97" s="6" t="n">
        <f aca="false">IF(LEN(D97)=10,DATE(VALUE(LEFT(D97,4)),VALUE(MID(D97,6,2)),VALUE(RIGHT(D97,2))),IF(LEN(D97)=7,DATE(VALUE(LEFT(D97,4)),VALUE(MID(D97,6,2)),15),DATE(VALUE(LEFT(D97,4)),7,1)))</f>
        <v>32090</v>
      </c>
      <c r="G97" s="6" t="n">
        <f aca="false">INDEX(Acts!$D:$D,MATCH(B97,Acts!$B:$B,0))</f>
        <v>30740</v>
      </c>
      <c r="H97" s="5" t="str">
        <f aca="false">IF(F97&gt;G97,"yes","no")</f>
        <v>yes</v>
      </c>
      <c r="I97" s="5" t="s">
        <v>218</v>
      </c>
      <c r="J97" s="5" t="n">
        <v>41</v>
      </c>
      <c r="K97" s="5" t="str">
        <f aca="false">IF(J97="","no","yes")</f>
        <v>yes</v>
      </c>
      <c r="L97" s="5"/>
      <c r="M97" s="7" t="n">
        <f aca="false">IF(L97="",0,IF(L97="Gold",0.5,IF(L97="Platinum",1,IF(L97="Diamond",10,IF(ISNUMBER(FIND("×",L97)),VALUE(LEFT(L97,FIND("×",L97)-1)),0)))))</f>
        <v>0</v>
      </c>
      <c r="N97" s="5" t="s">
        <v>566</v>
      </c>
      <c r="O97" s="5"/>
    </row>
    <row r="98" customFormat="false" ht="15" hidden="false" customHeight="false" outlineLevel="0" collapsed="false">
      <c r="A98" s="5" t="s">
        <v>582</v>
      </c>
      <c r="B98" s="5" t="s">
        <v>93</v>
      </c>
      <c r="C98" s="5" t="s">
        <v>583</v>
      </c>
      <c r="D98" s="5" t="s">
        <v>584</v>
      </c>
      <c r="E98" s="8" t="n">
        <f aca="false">VALUE(LEFT(D98,4))</f>
        <v>1989</v>
      </c>
      <c r="F98" s="6" t="n">
        <f aca="false">IF(LEN(D98)=10,DATE(VALUE(LEFT(D98,4)),VALUE(MID(D98,6,2)),VALUE(RIGHT(D98,2))),IF(LEN(D98)=7,DATE(VALUE(LEFT(D98,4)),VALUE(MID(D98,6,2)),15),DATE(VALUE(LEFT(D98,4)),7,1)))</f>
        <v>32762</v>
      </c>
      <c r="G98" s="6" t="n">
        <f aca="false">INDEX(Acts!$D:$D,MATCH(B98,Acts!$B:$B,0))</f>
        <v>30740</v>
      </c>
      <c r="H98" s="5" t="str">
        <f aca="false">IF(F98&gt;G98,"yes","no")</f>
        <v>yes</v>
      </c>
      <c r="I98" s="5" t="s">
        <v>218</v>
      </c>
      <c r="J98" s="5" t="n">
        <v>34</v>
      </c>
      <c r="K98" s="5" t="str">
        <f aca="false">IF(J98="","no","yes")</f>
        <v>yes</v>
      </c>
      <c r="L98" s="5"/>
      <c r="M98" s="7" t="n">
        <f aca="false">IF(L98="",0,IF(L98="Gold",0.5,IF(L98="Platinum",1,IF(L98="Diamond",10,IF(ISNUMBER(FIND("×",L98)),VALUE(LEFT(L98,FIND("×",L98)-1)),0)))))</f>
        <v>0</v>
      </c>
      <c r="N98" s="5" t="s">
        <v>566</v>
      </c>
      <c r="O98" s="5"/>
    </row>
    <row r="99" customFormat="false" ht="15" hidden="false" customHeight="false" outlineLevel="0" collapsed="false">
      <c r="A99" s="5" t="s">
        <v>585</v>
      </c>
      <c r="B99" s="5" t="s">
        <v>93</v>
      </c>
      <c r="C99" s="5" t="s">
        <v>586</v>
      </c>
      <c r="D99" s="5" t="s">
        <v>587</v>
      </c>
      <c r="E99" s="8" t="n">
        <f aca="false">VALUE(LEFT(D99,4))</f>
        <v>1999</v>
      </c>
      <c r="F99" s="6" t="n">
        <f aca="false">IF(LEN(D99)=10,DATE(VALUE(LEFT(D99,4)),VALUE(MID(D99,6,2)),VALUE(RIGHT(D99,2))),IF(LEN(D99)=7,DATE(VALUE(LEFT(D99,4)),VALUE(MID(D99,6,2)),15),DATE(VALUE(LEFT(D99,4)),7,1)))</f>
        <v>36451</v>
      </c>
      <c r="G99" s="6" t="n">
        <f aca="false">INDEX(Acts!$D:$D,MATCH(B99,Acts!$B:$B,0))</f>
        <v>30740</v>
      </c>
      <c r="H99" s="5" t="str">
        <f aca="false">IF(F99&gt;G99,"yes","no")</f>
        <v>yes</v>
      </c>
      <c r="I99" s="5" t="s">
        <v>218</v>
      </c>
      <c r="J99" s="5" t="n">
        <v>25</v>
      </c>
      <c r="K99" s="5" t="str">
        <f aca="false">IF(J99="","no","yes")</f>
        <v>yes</v>
      </c>
      <c r="L99" s="5" t="s">
        <v>271</v>
      </c>
      <c r="M99" s="7" t="n">
        <f aca="false">IF(L99="",0,IF(L99="Gold",0.5,IF(L99="Platinum",1,IF(L99="Diamond",10,IF(ISNUMBER(FIND("×",L99)),VALUE(LEFT(L99,FIND("×",L99)-1)),0)))))</f>
        <v>0.5</v>
      </c>
      <c r="N99" s="5" t="s">
        <v>566</v>
      </c>
      <c r="O99" s="5"/>
    </row>
    <row r="100" customFormat="false" ht="15" hidden="false" customHeight="false" outlineLevel="0" collapsed="false">
      <c r="A100" s="5" t="s">
        <v>588</v>
      </c>
      <c r="B100" s="5" t="s">
        <v>96</v>
      </c>
      <c r="C100" s="5" t="s">
        <v>589</v>
      </c>
      <c r="D100" s="5" t="s">
        <v>590</v>
      </c>
      <c r="E100" s="8" t="n">
        <f aca="false">VALUE(LEFT(D100,4))</f>
        <v>1984</v>
      </c>
      <c r="F100" s="6" t="n">
        <f aca="false">IF(LEN(D100)=10,DATE(VALUE(LEFT(D100,4)),VALUE(MID(D100,6,2)),VALUE(RIGHT(D100,2))),IF(LEN(D100)=7,DATE(VALUE(LEFT(D100,4)),VALUE(MID(D100,6,2)),15),DATE(VALUE(LEFT(D100,4)),7,1)))</f>
        <v>30984</v>
      </c>
      <c r="G100" s="6" t="n">
        <f aca="false">INDEX(Acts!$D:$D,MATCH(B100,Acts!$B:$B,0))</f>
        <v>31104</v>
      </c>
      <c r="H100" s="5" t="str">
        <f aca="false">IF(F100&gt;G100,"yes","no")</f>
        <v>no</v>
      </c>
      <c r="I100" s="5" t="s">
        <v>218</v>
      </c>
      <c r="J100" s="5" t="n">
        <v>33</v>
      </c>
      <c r="K100" s="5" t="str">
        <f aca="false">IF(J100="","no","yes")</f>
        <v>yes</v>
      </c>
      <c r="L100" s="5" t="s">
        <v>271</v>
      </c>
      <c r="M100" s="7" t="n">
        <f aca="false">IF(L100="",0,IF(L100="Gold",0.5,IF(L100="Platinum",1,IF(L100="Diamond",10,IF(ISNUMBER(FIND("×",L100)),VALUE(LEFT(L100,FIND("×",L100)-1)),0)))))</f>
        <v>0.5</v>
      </c>
      <c r="N100" s="5" t="s">
        <v>591</v>
      </c>
      <c r="O100" s="5"/>
    </row>
    <row r="101" customFormat="false" ht="15" hidden="false" customHeight="false" outlineLevel="0" collapsed="false">
      <c r="A101" s="5" t="s">
        <v>592</v>
      </c>
      <c r="B101" s="5" t="s">
        <v>96</v>
      </c>
      <c r="C101" s="5" t="s">
        <v>593</v>
      </c>
      <c r="D101" s="5" t="s">
        <v>594</v>
      </c>
      <c r="E101" s="8" t="n">
        <f aca="false">VALUE(LEFT(D101,4))</f>
        <v>1986</v>
      </c>
      <c r="F101" s="6" t="n">
        <f aca="false">IF(LEN(D101)=10,DATE(VALUE(LEFT(D101,4)),VALUE(MID(D101,6,2)),VALUE(RIGHT(D101,2))),IF(LEN(D101)=7,DATE(VALUE(LEFT(D101,4)),VALUE(MID(D101,6,2)),15),DATE(VALUE(LEFT(D101,4)),7,1)))</f>
        <v>31705</v>
      </c>
      <c r="G101" s="6" t="n">
        <f aca="false">INDEX(Acts!$D:$D,MATCH(B101,Acts!$B:$B,0))</f>
        <v>31104</v>
      </c>
      <c r="H101" s="5" t="str">
        <f aca="false">IF(F101&gt;G101,"yes","no")</f>
        <v>yes</v>
      </c>
      <c r="I101" s="5" t="s">
        <v>218</v>
      </c>
      <c r="J101" s="5" t="n">
        <v>88</v>
      </c>
      <c r="K101" s="5" t="str">
        <f aca="false">IF(J101="","no","yes")</f>
        <v>yes</v>
      </c>
      <c r="L101" s="5"/>
      <c r="M101" s="7" t="n">
        <f aca="false">IF(L101="",0,IF(L101="Gold",0.5,IF(L101="Platinum",1,IF(L101="Diamond",10,IF(ISNUMBER(FIND("×",L101)),VALUE(LEFT(L101,FIND("×",L101)-1)),0)))))</f>
        <v>0</v>
      </c>
      <c r="N101" s="5" t="s">
        <v>591</v>
      </c>
      <c r="O101" s="5"/>
    </row>
    <row r="102" customFormat="false" ht="15" hidden="false" customHeight="false" outlineLevel="0" collapsed="false">
      <c r="A102" s="5" t="s">
        <v>595</v>
      </c>
      <c r="B102" s="5" t="s">
        <v>99</v>
      </c>
      <c r="C102" s="5" t="s">
        <v>596</v>
      </c>
      <c r="D102" s="5" t="s">
        <v>597</v>
      </c>
      <c r="E102" s="8" t="n">
        <f aca="false">VALUE(LEFT(D102,4))</f>
        <v>1985</v>
      </c>
      <c r="F102" s="6" t="n">
        <f aca="false">IF(LEN(D102)=10,DATE(VALUE(LEFT(D102,4)),VALUE(MID(D102,6,2)),VALUE(RIGHT(D102,2))),IF(LEN(D102)=7,DATE(VALUE(LEFT(D102,4)),VALUE(MID(D102,6,2)),15),DATE(VALUE(LEFT(D102,4)),7,1)))</f>
        <v>31165</v>
      </c>
      <c r="G102" s="6" t="n">
        <f aca="false">INDEX(Acts!$D:$D,MATCH(B102,Acts!$B:$B,0))</f>
        <v>31468</v>
      </c>
      <c r="H102" s="5" t="str">
        <f aca="false">IF(F102&gt;G102,"yes","no")</f>
        <v>no</v>
      </c>
      <c r="I102" s="5" t="s">
        <v>218</v>
      </c>
      <c r="J102" s="5" t="n">
        <v>10</v>
      </c>
      <c r="K102" s="5" t="str">
        <f aca="false">IF(J102="","no","yes")</f>
        <v>yes</v>
      </c>
      <c r="L102" s="5" t="s">
        <v>219</v>
      </c>
      <c r="M102" s="7" t="n">
        <f aca="false">IF(L102="",0,IF(L102="Gold",0.5,IF(L102="Platinum",1,IF(L102="Diamond",10,IF(ISNUMBER(FIND("×",L102)),VALUE(LEFT(L102,FIND("×",L102)-1)),0)))))</f>
        <v>1</v>
      </c>
      <c r="N102" s="5" t="s">
        <v>598</v>
      </c>
      <c r="O102" s="5"/>
    </row>
    <row r="103" customFormat="false" ht="15" hidden="false" customHeight="false" outlineLevel="0" collapsed="false">
      <c r="A103" s="5" t="s">
        <v>599</v>
      </c>
      <c r="B103" s="5" t="s">
        <v>99</v>
      </c>
      <c r="C103" s="5" t="s">
        <v>600</v>
      </c>
      <c r="D103" s="5" t="s">
        <v>601</v>
      </c>
      <c r="E103" s="8" t="n">
        <f aca="false">VALUE(LEFT(D103,4))</f>
        <v>1986</v>
      </c>
      <c r="F103" s="6" t="n">
        <f aca="false">IF(LEN(D103)=10,DATE(VALUE(LEFT(D103,4)),VALUE(MID(D103,6,2)),VALUE(RIGHT(D103,2))),IF(LEN(D103)=7,DATE(VALUE(LEFT(D103,4)),VALUE(MID(D103,6,2)),15),DATE(VALUE(LEFT(D103,4)),7,1)))</f>
        <v>31722</v>
      </c>
      <c r="G103" s="6" t="n">
        <f aca="false">INDEX(Acts!$D:$D,MATCH(B103,Acts!$B:$B,0))</f>
        <v>31468</v>
      </c>
      <c r="H103" s="5" t="str">
        <f aca="false">IF(F103&gt;G103,"yes","no")</f>
        <v>yes</v>
      </c>
      <c r="I103" s="5" t="s">
        <v>218</v>
      </c>
      <c r="J103" s="5" t="n">
        <v>23</v>
      </c>
      <c r="K103" s="5" t="str">
        <f aca="false">IF(J103="","no","yes")</f>
        <v>yes</v>
      </c>
      <c r="L103" s="5" t="s">
        <v>219</v>
      </c>
      <c r="M103" s="7" t="n">
        <f aca="false">IF(L103="",0,IF(L103="Gold",0.5,IF(L103="Platinum",1,IF(L103="Diamond",10,IF(ISNUMBER(FIND("×",L103)),VALUE(LEFT(L103,FIND("×",L103)-1)),0)))))</f>
        <v>1</v>
      </c>
      <c r="N103" s="5" t="s">
        <v>598</v>
      </c>
      <c r="O103" s="5"/>
    </row>
    <row r="104" customFormat="false" ht="15" hidden="false" customHeight="false" outlineLevel="0" collapsed="false">
      <c r="A104" s="5" t="s">
        <v>602</v>
      </c>
      <c r="B104" s="5" t="s">
        <v>99</v>
      </c>
      <c r="C104" s="5" t="s">
        <v>603</v>
      </c>
      <c r="D104" s="5" t="s">
        <v>604</v>
      </c>
      <c r="E104" s="8" t="n">
        <f aca="false">VALUE(LEFT(D104,4))</f>
        <v>1988</v>
      </c>
      <c r="F104" s="6" t="n">
        <f aca="false">IF(LEN(D104)=10,DATE(VALUE(LEFT(D104,4)),VALUE(MID(D104,6,2)),VALUE(RIGHT(D104,2))),IF(LEN(D104)=7,DATE(VALUE(LEFT(D104,4)),VALUE(MID(D104,6,2)),15),DATE(VALUE(LEFT(D104,4)),7,1)))</f>
        <v>32353</v>
      </c>
      <c r="G104" s="6" t="n">
        <f aca="false">INDEX(Acts!$D:$D,MATCH(B104,Acts!$B:$B,0))</f>
        <v>31468</v>
      </c>
      <c r="H104" s="5" t="str">
        <f aca="false">IF(F104&gt;G104,"yes","no")</f>
        <v>yes</v>
      </c>
      <c r="I104" s="5" t="s">
        <v>218</v>
      </c>
      <c r="J104" s="5" t="n">
        <v>48</v>
      </c>
      <c r="K104" s="5" t="str">
        <f aca="false">IF(J104="","no","yes")</f>
        <v>yes</v>
      </c>
      <c r="L104" s="5" t="s">
        <v>271</v>
      </c>
      <c r="M104" s="7" t="n">
        <f aca="false">IF(L104="",0,IF(L104="Gold",0.5,IF(L104="Platinum",1,IF(L104="Diamond",10,IF(ISNUMBER(FIND("×",L104)),VALUE(LEFT(L104,FIND("×",L104)-1)),0)))))</f>
        <v>0.5</v>
      </c>
      <c r="N104" s="5" t="s">
        <v>598</v>
      </c>
      <c r="O104" s="5"/>
    </row>
    <row r="105" customFormat="false" ht="15" hidden="false" customHeight="false" outlineLevel="0" collapsed="false">
      <c r="A105" s="5" t="s">
        <v>605</v>
      </c>
      <c r="B105" s="5" t="s">
        <v>99</v>
      </c>
      <c r="C105" s="5" t="s">
        <v>606</v>
      </c>
      <c r="D105" s="5" t="s">
        <v>607</v>
      </c>
      <c r="E105" s="8" t="n">
        <f aca="false">VALUE(LEFT(D105,4))</f>
        <v>1990</v>
      </c>
      <c r="F105" s="6" t="n">
        <f aca="false">IF(LEN(D105)=10,DATE(VALUE(LEFT(D105,4)),VALUE(MID(D105,6,2)),VALUE(RIGHT(D105,2))),IF(LEN(D105)=7,DATE(VALUE(LEFT(D105,4)),VALUE(MID(D105,6,2)),15),DATE(VALUE(LEFT(D105,4)),7,1)))</f>
        <v>33175</v>
      </c>
      <c r="G105" s="6" t="n">
        <f aca="false">INDEX(Acts!$D:$D,MATCH(B105,Acts!$B:$B,0))</f>
        <v>31468</v>
      </c>
      <c r="H105" s="5" t="str">
        <f aca="false">IF(F105&gt;G105,"yes","no")</f>
        <v>yes</v>
      </c>
      <c r="I105" s="5" t="s">
        <v>218</v>
      </c>
      <c r="J105" s="5" t="n">
        <v>59</v>
      </c>
      <c r="K105" s="5" t="str">
        <f aca="false">IF(J105="","no","yes")</f>
        <v>yes</v>
      </c>
      <c r="L105" s="5" t="s">
        <v>271</v>
      </c>
      <c r="M105" s="7" t="n">
        <f aca="false">IF(L105="",0,IF(L105="Gold",0.5,IF(L105="Platinum",1,IF(L105="Diamond",10,IF(ISNUMBER(FIND("×",L105)),VALUE(LEFT(L105,FIND("×",L105)-1)),0)))))</f>
        <v>0.5</v>
      </c>
      <c r="N105" s="5" t="s">
        <v>598</v>
      </c>
      <c r="O105" s="5"/>
    </row>
    <row r="106" customFormat="false" ht="15" hidden="false" customHeight="false" outlineLevel="0" collapsed="false">
      <c r="A106" s="5" t="s">
        <v>608</v>
      </c>
      <c r="B106" s="5" t="s">
        <v>99</v>
      </c>
      <c r="C106" s="5" t="s">
        <v>609</v>
      </c>
      <c r="D106" s="5" t="s">
        <v>493</v>
      </c>
      <c r="E106" s="8" t="n">
        <f aca="false">VALUE(LEFT(D106,4))</f>
        <v>1992</v>
      </c>
      <c r="F106" s="6" t="n">
        <f aca="false">IF(LEN(D106)=10,DATE(VALUE(LEFT(D106,4)),VALUE(MID(D106,6,2)),VALUE(RIGHT(D106,2))),IF(LEN(D106)=7,DATE(VALUE(LEFT(D106,4)),VALUE(MID(D106,6,2)),15),DATE(VALUE(LEFT(D106,4)),7,1)))</f>
        <v>33819</v>
      </c>
      <c r="G106" s="6" t="n">
        <f aca="false">INDEX(Acts!$D:$D,MATCH(B106,Acts!$B:$B,0))</f>
        <v>31468</v>
      </c>
      <c r="H106" s="5" t="str">
        <f aca="false">IF(F106&gt;G106,"yes","no")</f>
        <v>yes</v>
      </c>
      <c r="I106" s="5" t="s">
        <v>218</v>
      </c>
      <c r="J106" s="5" t="n">
        <v>83</v>
      </c>
      <c r="K106" s="5" t="str">
        <f aca="false">IF(J106="","no","yes")</f>
        <v>yes</v>
      </c>
      <c r="L106" s="5"/>
      <c r="M106" s="7" t="n">
        <f aca="false">IF(L106="",0,IF(L106="Gold",0.5,IF(L106="Platinum",1,IF(L106="Diamond",10,IF(ISNUMBER(FIND("×",L106)),VALUE(LEFT(L106,FIND("×",L106)-1)),0)))))</f>
        <v>0</v>
      </c>
      <c r="N106" s="5" t="s">
        <v>598</v>
      </c>
      <c r="O106" s="5"/>
    </row>
    <row r="107" customFormat="false" ht="15" hidden="false" customHeight="false" outlineLevel="0" collapsed="false">
      <c r="A107" s="5" t="s">
        <v>610</v>
      </c>
      <c r="B107" s="5" t="s">
        <v>99</v>
      </c>
      <c r="C107" s="5" t="s">
        <v>611</v>
      </c>
      <c r="D107" s="5" t="s">
        <v>612</v>
      </c>
      <c r="E107" s="8" t="n">
        <f aca="false">VALUE(LEFT(D107,4))</f>
        <v>1994</v>
      </c>
      <c r="F107" s="6" t="n">
        <f aca="false">IF(LEN(D107)=10,DATE(VALUE(LEFT(D107,4)),VALUE(MID(D107,6,2)),VALUE(RIGHT(D107,2))),IF(LEN(D107)=7,DATE(VALUE(LEFT(D107,4)),VALUE(MID(D107,6,2)),15),DATE(VALUE(LEFT(D107,4)),7,1)))</f>
        <v>34352</v>
      </c>
      <c r="G107" s="6" t="n">
        <f aca="false">INDEX(Acts!$D:$D,MATCH(B107,Acts!$B:$B,0))</f>
        <v>31468</v>
      </c>
      <c r="H107" s="5" t="str">
        <f aca="false">IF(F107&gt;G107,"yes","no")</f>
        <v>yes</v>
      </c>
      <c r="I107" s="5" t="s">
        <v>218</v>
      </c>
      <c r="J107" s="5" t="n">
        <v>66</v>
      </c>
      <c r="K107" s="5" t="str">
        <f aca="false">IF(J107="","no","yes")</f>
        <v>yes</v>
      </c>
      <c r="L107" s="5"/>
      <c r="M107" s="7" t="n">
        <f aca="false">IF(L107="",0,IF(L107="Gold",0.5,IF(L107="Platinum",1,IF(L107="Diamond",10,IF(ISNUMBER(FIND("×",L107)),VALUE(LEFT(L107,FIND("×",L107)-1)),0)))))</f>
        <v>0</v>
      </c>
      <c r="N107" s="5" t="s">
        <v>598</v>
      </c>
      <c r="O107" s="5"/>
    </row>
    <row r="108" customFormat="false" ht="15" hidden="false" customHeight="false" outlineLevel="0" collapsed="false">
      <c r="A108" s="5" t="s">
        <v>613</v>
      </c>
      <c r="B108" s="5" t="s">
        <v>99</v>
      </c>
      <c r="C108" s="5" t="s">
        <v>614</v>
      </c>
      <c r="D108" s="5" t="s">
        <v>615</v>
      </c>
      <c r="E108" s="8" t="n">
        <f aca="false">VALUE(LEFT(D108,4))</f>
        <v>1994</v>
      </c>
      <c r="F108" s="6" t="n">
        <f aca="false">IF(LEN(D108)=10,DATE(VALUE(LEFT(D108,4)),VALUE(MID(D108,6,2)),VALUE(RIGHT(D108,2))),IF(LEN(D108)=7,DATE(VALUE(LEFT(D108,4)),VALUE(MID(D108,6,2)),15),DATE(VALUE(LEFT(D108,4)),7,1)))</f>
        <v>34632</v>
      </c>
      <c r="G108" s="6" t="n">
        <f aca="false">INDEX(Acts!$D:$D,MATCH(B108,Acts!$B:$B,0))</f>
        <v>31468</v>
      </c>
      <c r="H108" s="5" t="str">
        <f aca="false">IF(F108&gt;G108,"yes","no")</f>
        <v>yes</v>
      </c>
      <c r="I108" s="5" t="s">
        <v>218</v>
      </c>
      <c r="J108" s="5"/>
      <c r="K108" s="5" t="str">
        <f aca="false">IF(J108="","no","yes")</f>
        <v>no</v>
      </c>
      <c r="L108" s="5"/>
      <c r="M108" s="7" t="n">
        <f aca="false">IF(L108="",0,IF(L108="Gold",0.5,IF(L108="Platinum",1,IF(L108="Diamond",10,IF(ISNUMBER(FIND("×",L108)),VALUE(LEFT(L108,FIND("×",L108)-1)),0)))))</f>
        <v>0</v>
      </c>
      <c r="N108" s="5" t="s">
        <v>598</v>
      </c>
      <c r="O108" s="5" t="s">
        <v>616</v>
      </c>
    </row>
    <row r="109" customFormat="false" ht="15" hidden="false" customHeight="false" outlineLevel="0" collapsed="false">
      <c r="A109" s="5" t="s">
        <v>617</v>
      </c>
      <c r="B109" s="5" t="s">
        <v>99</v>
      </c>
      <c r="C109" s="5" t="s">
        <v>618</v>
      </c>
      <c r="D109" s="5" t="s">
        <v>619</v>
      </c>
      <c r="E109" s="8" t="n">
        <f aca="false">VALUE(LEFT(D109,4))</f>
        <v>1995</v>
      </c>
      <c r="F109" s="6" t="n">
        <f aca="false">IF(LEN(D109)=10,DATE(VALUE(LEFT(D109,4)),VALUE(MID(D109,6,2)),VALUE(RIGHT(D109,2))),IF(LEN(D109)=7,DATE(VALUE(LEFT(D109,4)),VALUE(MID(D109,6,2)),15),DATE(VALUE(LEFT(D109,4)),7,1)))</f>
        <v>34758</v>
      </c>
      <c r="G109" s="6" t="n">
        <f aca="false">INDEX(Acts!$D:$D,MATCH(B109,Acts!$B:$B,0))</f>
        <v>31468</v>
      </c>
      <c r="H109" s="5" t="str">
        <f aca="false">IF(F109&gt;G109,"yes","no")</f>
        <v>yes</v>
      </c>
      <c r="I109" s="5" t="s">
        <v>218</v>
      </c>
      <c r="J109" s="5" t="n">
        <v>187</v>
      </c>
      <c r="K109" s="5" t="str">
        <f aca="false">IF(J109="","no","yes")</f>
        <v>yes</v>
      </c>
      <c r="L109" s="5"/>
      <c r="M109" s="7" t="n">
        <f aca="false">IF(L109="",0,IF(L109="Gold",0.5,IF(L109="Platinum",1,IF(L109="Diamond",10,IF(ISNUMBER(FIND("×",L109)),VALUE(LEFT(L109,FIND("×",L109)-1)),0)))))</f>
        <v>0</v>
      </c>
      <c r="N109" s="5" t="s">
        <v>598</v>
      </c>
      <c r="O109" s="5" t="s">
        <v>620</v>
      </c>
    </row>
    <row r="110" customFormat="false" ht="15" hidden="false" customHeight="false" outlineLevel="0" collapsed="false">
      <c r="A110" s="5" t="s">
        <v>621</v>
      </c>
      <c r="B110" s="5" t="s">
        <v>99</v>
      </c>
      <c r="C110" s="5" t="s">
        <v>622</v>
      </c>
      <c r="D110" s="5" t="s">
        <v>623</v>
      </c>
      <c r="E110" s="8" t="n">
        <f aca="false">VALUE(LEFT(D110,4))</f>
        <v>1999</v>
      </c>
      <c r="F110" s="6" t="n">
        <f aca="false">IF(LEN(D110)=10,DATE(VALUE(LEFT(D110,4)),VALUE(MID(D110,6,2)),VALUE(RIGHT(D110,2))),IF(LEN(D110)=7,DATE(VALUE(LEFT(D110,4)),VALUE(MID(D110,6,2)),15),DATE(VALUE(LEFT(D110,4)),7,1)))</f>
        <v>36417</v>
      </c>
      <c r="G110" s="6" t="n">
        <f aca="false">INDEX(Acts!$D:$D,MATCH(B110,Acts!$B:$B,0))</f>
        <v>31468</v>
      </c>
      <c r="H110" s="5" t="str">
        <f aca="false">IF(F110&gt;G110,"yes","no")</f>
        <v>yes</v>
      </c>
      <c r="I110" s="5" t="s">
        <v>218</v>
      </c>
      <c r="J110" s="5"/>
      <c r="K110" s="5" t="str">
        <f aca="false">IF(J110="","no","yes")</f>
        <v>no</v>
      </c>
      <c r="L110" s="5"/>
      <c r="M110" s="7" t="n">
        <f aca="false">IF(L110="",0,IF(L110="Gold",0.5,IF(L110="Platinum",1,IF(L110="Diamond",10,IF(ISNUMBER(FIND("×",L110)),VALUE(LEFT(L110,FIND("×",L110)-1)),0)))))</f>
        <v>0</v>
      </c>
      <c r="N110" s="5" t="s">
        <v>598</v>
      </c>
      <c r="O110" s="5" t="s">
        <v>624</v>
      </c>
    </row>
    <row r="111" customFormat="false" ht="15" hidden="false" customHeight="false" outlineLevel="0" collapsed="false">
      <c r="A111" s="5" t="s">
        <v>625</v>
      </c>
      <c r="B111" s="5" t="s">
        <v>99</v>
      </c>
      <c r="C111" s="5" t="s">
        <v>626</v>
      </c>
      <c r="D111" s="5" t="s">
        <v>627</v>
      </c>
      <c r="E111" s="8" t="n">
        <f aca="false">VALUE(LEFT(D111,4))</f>
        <v>2004</v>
      </c>
      <c r="F111" s="6" t="n">
        <f aca="false">IF(LEN(D111)=10,DATE(VALUE(LEFT(D111,4)),VALUE(MID(D111,6,2)),VALUE(RIGHT(D111,2))),IF(LEN(D111)=7,DATE(VALUE(LEFT(D111,4)),VALUE(MID(D111,6,2)),15),DATE(VALUE(LEFT(D111,4)),7,1)))</f>
        <v>38041</v>
      </c>
      <c r="G111" s="6" t="n">
        <f aca="false">INDEX(Acts!$D:$D,MATCH(B111,Acts!$B:$B,0))</f>
        <v>31468</v>
      </c>
      <c r="H111" s="5" t="str">
        <f aca="false">IF(F111&gt;G111,"yes","no")</f>
        <v>yes</v>
      </c>
      <c r="I111" s="5" t="s">
        <v>218</v>
      </c>
      <c r="J111" s="5"/>
      <c r="K111" s="5" t="str">
        <f aca="false">IF(J111="","no","yes")</f>
        <v>no</v>
      </c>
      <c r="L111" s="5"/>
      <c r="M111" s="7" t="n">
        <f aca="false">IF(L111="",0,IF(L111="Gold",0.5,IF(L111="Platinum",1,IF(L111="Diamond",10,IF(ISNUMBER(FIND("×",L111)),VALUE(LEFT(L111,FIND("×",L111)-1)),0)))))</f>
        <v>0</v>
      </c>
      <c r="N111" s="5" t="s">
        <v>598</v>
      </c>
      <c r="O111" s="5" t="s">
        <v>628</v>
      </c>
    </row>
    <row r="112" customFormat="false" ht="15" hidden="false" customHeight="false" outlineLevel="0" collapsed="false">
      <c r="A112" s="5" t="s">
        <v>629</v>
      </c>
      <c r="B112" s="5" t="s">
        <v>99</v>
      </c>
      <c r="C112" s="5" t="s">
        <v>630</v>
      </c>
      <c r="D112" s="5" t="s">
        <v>631</v>
      </c>
      <c r="E112" s="8" t="n">
        <f aca="false">VALUE(LEFT(D112,4))</f>
        <v>2005</v>
      </c>
      <c r="F112" s="6" t="n">
        <f aca="false">IF(LEN(D112)=10,DATE(VALUE(LEFT(D112,4)),VALUE(MID(D112,6,2)),VALUE(RIGHT(D112,2))),IF(LEN(D112)=7,DATE(VALUE(LEFT(D112,4)),VALUE(MID(D112,6,2)),15),DATE(VALUE(LEFT(D112,4)),7,1)))</f>
        <v>38657</v>
      </c>
      <c r="G112" s="6" t="n">
        <f aca="false">INDEX(Acts!$D:$D,MATCH(B112,Acts!$B:$B,0))</f>
        <v>31468</v>
      </c>
      <c r="H112" s="5" t="str">
        <f aca="false">IF(F112&gt;G112,"yes","no")</f>
        <v>yes</v>
      </c>
      <c r="I112" s="5" t="s">
        <v>230</v>
      </c>
      <c r="J112" s="5"/>
      <c r="K112" s="5" t="str">
        <f aca="false">IF(J112="","no","yes")</f>
        <v>no</v>
      </c>
      <c r="L112" s="5"/>
      <c r="M112" s="7" t="n">
        <f aca="false">IF(L112="",0,IF(L112="Gold",0.5,IF(L112="Platinum",1,IF(L112="Diamond",10,IF(ISNUMBER(FIND("×",L112)),VALUE(LEFT(L112,FIND("×",L112)-1)),0)))))</f>
        <v>0</v>
      </c>
      <c r="N112" s="5" t="s">
        <v>598</v>
      </c>
      <c r="O112" s="5" t="s">
        <v>632</v>
      </c>
    </row>
    <row r="113" customFormat="false" ht="15" hidden="false" customHeight="false" outlineLevel="0" collapsed="false">
      <c r="A113" s="5" t="s">
        <v>633</v>
      </c>
      <c r="B113" s="5" t="s">
        <v>99</v>
      </c>
      <c r="C113" s="5" t="s">
        <v>634</v>
      </c>
      <c r="D113" s="5" t="s">
        <v>635</v>
      </c>
      <c r="E113" s="8" t="n">
        <f aca="false">VALUE(LEFT(D113,4))</f>
        <v>2006</v>
      </c>
      <c r="F113" s="6" t="n">
        <f aca="false">IF(LEN(D113)=10,DATE(VALUE(LEFT(D113,4)),VALUE(MID(D113,6,2)),VALUE(RIGHT(D113,2))),IF(LEN(D113)=7,DATE(VALUE(LEFT(D113,4)),VALUE(MID(D113,6,2)),15),DATE(VALUE(LEFT(D113,4)),7,1)))</f>
        <v>38986</v>
      </c>
      <c r="G113" s="6" t="n">
        <f aca="false">INDEX(Acts!$D:$D,MATCH(B113,Acts!$B:$B,0))</f>
        <v>31468</v>
      </c>
      <c r="H113" s="5" t="str">
        <f aca="false">IF(F113&gt;G113,"yes","no")</f>
        <v>yes</v>
      </c>
      <c r="I113" s="5" t="s">
        <v>218</v>
      </c>
      <c r="J113" s="5"/>
      <c r="K113" s="5" t="str">
        <f aca="false">IF(J113="","no","yes")</f>
        <v>no</v>
      </c>
      <c r="L113" s="5"/>
      <c r="M113" s="7" t="n">
        <f aca="false">IF(L113="",0,IF(L113="Gold",0.5,IF(L113="Platinum",1,IF(L113="Diamond",10,IF(ISNUMBER(FIND("×",L113)),VALUE(LEFT(L113,FIND("×",L113)-1)),0)))))</f>
        <v>0</v>
      </c>
      <c r="N113" s="5" t="s">
        <v>598</v>
      </c>
      <c r="O113" s="5" t="s">
        <v>636</v>
      </c>
    </row>
    <row r="114" customFormat="false" ht="15" hidden="false" customHeight="false" outlineLevel="0" collapsed="false">
      <c r="A114" s="5" t="s">
        <v>637</v>
      </c>
      <c r="B114" s="5" t="s">
        <v>99</v>
      </c>
      <c r="C114" s="5" t="s">
        <v>638</v>
      </c>
      <c r="D114" s="5" t="s">
        <v>639</v>
      </c>
      <c r="E114" s="8" t="n">
        <f aca="false">VALUE(LEFT(D114,4))</f>
        <v>2010</v>
      </c>
      <c r="F114" s="6" t="n">
        <f aca="false">IF(LEN(D114)=10,DATE(VALUE(LEFT(D114,4)),VALUE(MID(D114,6,2)),VALUE(RIGHT(D114,2))),IF(LEN(D114)=7,DATE(VALUE(LEFT(D114,4)),VALUE(MID(D114,6,2)),15),DATE(VALUE(LEFT(D114,4)),7,1)))</f>
        <v>40498</v>
      </c>
      <c r="G114" s="6" t="n">
        <f aca="false">INDEX(Acts!$D:$D,MATCH(B114,Acts!$B:$B,0))</f>
        <v>31468</v>
      </c>
      <c r="H114" s="5" t="str">
        <f aca="false">IF(F114&gt;G114,"yes","no")</f>
        <v>yes</v>
      </c>
      <c r="I114" s="5" t="s">
        <v>218</v>
      </c>
      <c r="J114" s="5"/>
      <c r="K114" s="5" t="str">
        <f aca="false">IF(J114="","no","yes")</f>
        <v>no</v>
      </c>
      <c r="L114" s="5"/>
      <c r="M114" s="7" t="n">
        <f aca="false">IF(L114="",0,IF(L114="Gold",0.5,IF(L114="Platinum",1,IF(L114="Diamond",10,IF(ISNUMBER(FIND("×",L114)),VALUE(LEFT(L114,FIND("×",L114)-1)),0)))))</f>
        <v>0</v>
      </c>
      <c r="N114" s="5" t="s">
        <v>598</v>
      </c>
      <c r="O114" s="5" t="s">
        <v>640</v>
      </c>
    </row>
    <row r="115" customFormat="false" ht="15" hidden="false" customHeight="false" outlineLevel="0" collapsed="false">
      <c r="A115" s="5" t="s">
        <v>641</v>
      </c>
      <c r="B115" s="5" t="s">
        <v>99</v>
      </c>
      <c r="C115" s="5" t="s">
        <v>642</v>
      </c>
      <c r="D115" s="5" t="s">
        <v>643</v>
      </c>
      <c r="E115" s="8" t="n">
        <f aca="false">VALUE(LEFT(D115,4))</f>
        <v>2018</v>
      </c>
      <c r="F115" s="6" t="n">
        <f aca="false">IF(LEN(D115)=10,DATE(VALUE(LEFT(D115,4)),VALUE(MID(D115,6,2)),VALUE(RIGHT(D115,2))),IF(LEN(D115)=7,DATE(VALUE(LEFT(D115,4)),VALUE(MID(D115,6,2)),15),DATE(VALUE(LEFT(D115,4)),7,1)))</f>
        <v>43255</v>
      </c>
      <c r="G115" s="6" t="n">
        <f aca="false">INDEX(Acts!$D:$D,MATCH(B115,Acts!$B:$B,0))</f>
        <v>31468</v>
      </c>
      <c r="H115" s="5" t="str">
        <f aca="false">IF(F115&gt;G115,"yes","no")</f>
        <v>yes</v>
      </c>
      <c r="I115" s="5" t="s">
        <v>230</v>
      </c>
      <c r="J115" s="5"/>
      <c r="K115" s="5" t="str">
        <f aca="false">IF(J115="","no","yes")</f>
        <v>no</v>
      </c>
      <c r="L115" s="5"/>
      <c r="M115" s="7" t="n">
        <f aca="false">IF(L115="",0,IF(L115="Gold",0.5,IF(L115="Platinum",1,IF(L115="Diamond",10,IF(ISNUMBER(FIND("×",L115)),VALUE(LEFT(L115,FIND("×",L115)-1)),0)))))</f>
        <v>0</v>
      </c>
      <c r="N115" s="5" t="s">
        <v>598</v>
      </c>
      <c r="O115" s="5" t="s">
        <v>644</v>
      </c>
    </row>
    <row r="116" customFormat="false" ht="15" hidden="false" customHeight="false" outlineLevel="0" collapsed="false">
      <c r="A116" s="5" t="s">
        <v>645</v>
      </c>
      <c r="B116" s="5" t="s">
        <v>99</v>
      </c>
      <c r="C116" s="5" t="s">
        <v>646</v>
      </c>
      <c r="D116" s="5" t="s">
        <v>647</v>
      </c>
      <c r="E116" s="8" t="n">
        <f aca="false">VALUE(LEFT(D116,4))</f>
        <v>2023</v>
      </c>
      <c r="F116" s="6" t="n">
        <f aca="false">IF(LEN(D116)=10,DATE(VALUE(LEFT(D116,4)),VALUE(MID(D116,6,2)),VALUE(RIGHT(D116,2))),IF(LEN(D116)=7,DATE(VALUE(LEFT(D116,4)),VALUE(MID(D116,6,2)),15),DATE(VALUE(LEFT(D116,4)),7,1)))</f>
        <v>45058</v>
      </c>
      <c r="G116" s="6" t="n">
        <f aca="false">INDEX(Acts!$D:$D,MATCH(B116,Acts!$B:$B,0))</f>
        <v>31468</v>
      </c>
      <c r="H116" s="5" t="str">
        <f aca="false">IF(F116&gt;G116,"yes","no")</f>
        <v>yes</v>
      </c>
      <c r="I116" s="5" t="s">
        <v>230</v>
      </c>
      <c r="J116" s="5"/>
      <c r="K116" s="5" t="str">
        <f aca="false">IF(J116="","no","yes")</f>
        <v>no</v>
      </c>
      <c r="L116" s="5"/>
      <c r="M116" s="7" t="n">
        <f aca="false">IF(L116="",0,IF(L116="Gold",0.5,IF(L116="Platinum",1,IF(L116="Diamond",10,IF(ISNUMBER(FIND("×",L116)),VALUE(LEFT(L116,FIND("×",L116)-1)),0)))))</f>
        <v>0</v>
      </c>
      <c r="N116" s="5" t="s">
        <v>598</v>
      </c>
      <c r="O116" s="5" t="s">
        <v>648</v>
      </c>
    </row>
    <row r="117" customFormat="false" ht="15" hidden="false" customHeight="false" outlineLevel="0" collapsed="false">
      <c r="A117" s="5" t="s">
        <v>649</v>
      </c>
      <c r="B117" s="5" t="s">
        <v>102</v>
      </c>
      <c r="C117" s="5" t="s">
        <v>650</v>
      </c>
      <c r="D117" s="5" t="s">
        <v>651</v>
      </c>
      <c r="E117" s="8" t="n">
        <f aca="false">VALUE(LEFT(D117,4))</f>
        <v>1986</v>
      </c>
      <c r="F117" s="6" t="n">
        <f aca="false">IF(LEN(D117)=10,DATE(VALUE(LEFT(D117,4)),VALUE(MID(D117,6,2)),VALUE(RIGHT(D117,2))),IF(LEN(D117)=7,DATE(VALUE(LEFT(D117,4)),VALUE(MID(D117,6,2)),15),DATE(VALUE(LEFT(D117,4)),7,1)))</f>
        <v>31460</v>
      </c>
      <c r="G117" s="6" t="n">
        <f aca="false">INDEX(Acts!$D:$D,MATCH(B117,Acts!$B:$B,0))</f>
        <v>31832</v>
      </c>
      <c r="H117" s="5" t="str">
        <f aca="false">IF(F117&gt;G117,"yes","no")</f>
        <v>no</v>
      </c>
      <c r="I117" s="5" t="s">
        <v>218</v>
      </c>
      <c r="J117" s="5" t="n">
        <v>27</v>
      </c>
      <c r="K117" s="5" t="str">
        <f aca="false">IF(J117="","no","yes")</f>
        <v>yes</v>
      </c>
      <c r="L117" s="5" t="s">
        <v>271</v>
      </c>
      <c r="M117" s="7" t="n">
        <f aca="false">IF(L117="",0,IF(L117="Gold",0.5,IF(L117="Platinum",1,IF(L117="Diamond",10,IF(ISNUMBER(FIND("×",L117)),VALUE(LEFT(L117,FIND("×",L117)-1)),0)))))</f>
        <v>0.5</v>
      </c>
      <c r="N117" s="5" t="s">
        <v>652</v>
      </c>
      <c r="O117" s="5"/>
    </row>
    <row r="118" customFormat="false" ht="15" hidden="false" customHeight="false" outlineLevel="0" collapsed="false">
      <c r="A118" s="5" t="s">
        <v>653</v>
      </c>
      <c r="B118" s="5" t="s">
        <v>102</v>
      </c>
      <c r="C118" s="5" t="s">
        <v>654</v>
      </c>
      <c r="D118" s="5" t="s">
        <v>655</v>
      </c>
      <c r="E118" s="8" t="n">
        <f aca="false">VALUE(LEFT(D118,4))</f>
        <v>1988</v>
      </c>
      <c r="F118" s="6" t="n">
        <f aca="false">IF(LEN(D118)=10,DATE(VALUE(LEFT(D118,4)),VALUE(MID(D118,6,2)),VALUE(RIGHT(D118,2))),IF(LEN(D118)=7,DATE(VALUE(LEFT(D118,4)),VALUE(MID(D118,6,2)),15),DATE(VALUE(LEFT(D118,4)),7,1)))</f>
        <v>32246</v>
      </c>
      <c r="G118" s="6" t="n">
        <f aca="false">INDEX(Acts!$D:$D,MATCH(B118,Acts!$B:$B,0))</f>
        <v>31832</v>
      </c>
      <c r="H118" s="5" t="str">
        <f aca="false">IF(F118&gt;G118,"yes","no")</f>
        <v>yes</v>
      </c>
      <c r="I118" s="5" t="s">
        <v>218</v>
      </c>
      <c r="J118" s="5" t="n">
        <v>82</v>
      </c>
      <c r="K118" s="5" t="str">
        <f aca="false">IF(J118="","no","yes")</f>
        <v>yes</v>
      </c>
      <c r="L118" s="5"/>
      <c r="M118" s="7" t="n">
        <f aca="false">IF(L118="",0,IF(L118="Gold",0.5,IF(L118="Platinum",1,IF(L118="Diamond",10,IF(ISNUMBER(FIND("×",L118)),VALUE(LEFT(L118,FIND("×",L118)-1)),0)))))</f>
        <v>0</v>
      </c>
      <c r="N118" s="5" t="s">
        <v>652</v>
      </c>
      <c r="O118" s="5"/>
    </row>
    <row r="119" customFormat="false" ht="15" hidden="false" customHeight="false" outlineLevel="0" collapsed="false">
      <c r="A119" s="5" t="s">
        <v>656</v>
      </c>
      <c r="B119" s="5" t="s">
        <v>102</v>
      </c>
      <c r="C119" s="5" t="s">
        <v>657</v>
      </c>
      <c r="D119" s="5" t="s">
        <v>658</v>
      </c>
      <c r="E119" s="8" t="n">
        <f aca="false">VALUE(LEFT(D119,4))</f>
        <v>1991</v>
      </c>
      <c r="F119" s="6" t="n">
        <f aca="false">IF(LEN(D119)=10,DATE(VALUE(LEFT(D119,4)),VALUE(MID(D119,6,2)),VALUE(RIGHT(D119,2))),IF(LEN(D119)=7,DATE(VALUE(LEFT(D119,4)),VALUE(MID(D119,6,2)),15),DATE(VALUE(LEFT(D119,4)),7,1)))</f>
        <v>33319</v>
      </c>
      <c r="G119" s="6" t="n">
        <f aca="false">INDEX(Acts!$D:$D,MATCH(B119,Acts!$B:$B,0))</f>
        <v>31832</v>
      </c>
      <c r="H119" s="5" t="str">
        <f aca="false">IF(F119&gt;G119,"yes","no")</f>
        <v>yes</v>
      </c>
      <c r="I119" s="5" t="s">
        <v>230</v>
      </c>
      <c r="J119" s="5"/>
      <c r="K119" s="5" t="str">
        <f aca="false">IF(J119="","no","yes")</f>
        <v>no</v>
      </c>
      <c r="L119" s="5"/>
      <c r="M119" s="7" t="n">
        <f aca="false">IF(L119="",0,IF(L119="Gold",0.5,IF(L119="Platinum",1,IF(L119="Diamond",10,IF(ISNUMBER(FIND("×",L119)),VALUE(LEFT(L119,FIND("×",L119)-1)),0)))))</f>
        <v>0</v>
      </c>
      <c r="N119" s="5" t="s">
        <v>652</v>
      </c>
      <c r="O119" s="5" t="s">
        <v>659</v>
      </c>
    </row>
    <row r="120" customFormat="false" ht="15" hidden="false" customHeight="false" outlineLevel="0" collapsed="false">
      <c r="A120" s="5" t="s">
        <v>660</v>
      </c>
      <c r="B120" s="5" t="s">
        <v>102</v>
      </c>
      <c r="C120" s="5" t="s">
        <v>661</v>
      </c>
      <c r="D120" s="5" t="s">
        <v>662</v>
      </c>
      <c r="E120" s="8" t="n">
        <f aca="false">VALUE(LEFT(D120,4))</f>
        <v>2020</v>
      </c>
      <c r="F120" s="6" t="n">
        <f aca="false">IF(LEN(D120)=10,DATE(VALUE(LEFT(D120,4)),VALUE(MID(D120,6,2)),VALUE(RIGHT(D120,2))),IF(LEN(D120)=7,DATE(VALUE(LEFT(D120,4)),VALUE(MID(D120,6,2)),15),DATE(VALUE(LEFT(D120,4)),7,1)))</f>
        <v>44134</v>
      </c>
      <c r="G120" s="6" t="n">
        <f aca="false">INDEX(Acts!$D:$D,MATCH(B120,Acts!$B:$B,0))</f>
        <v>31832</v>
      </c>
      <c r="H120" s="5" t="str">
        <f aca="false">IF(F120&gt;G120,"yes","no")</f>
        <v>yes</v>
      </c>
      <c r="I120" s="5" t="s">
        <v>230</v>
      </c>
      <c r="J120" s="5"/>
      <c r="K120" s="5" t="str">
        <f aca="false">IF(J120="","no","yes")</f>
        <v>no</v>
      </c>
      <c r="L120" s="5"/>
      <c r="M120" s="7" t="n">
        <f aca="false">IF(L120="",0,IF(L120="Gold",0.5,IF(L120="Platinum",1,IF(L120="Diamond",10,IF(ISNUMBER(FIND("×",L120)),VALUE(LEFT(L120,FIND("×",L120)-1)),0)))))</f>
        <v>0</v>
      </c>
      <c r="N120" s="5" t="s">
        <v>652</v>
      </c>
      <c r="O120" s="5" t="s">
        <v>663</v>
      </c>
    </row>
    <row r="121" customFormat="false" ht="15" hidden="false" customHeight="false" outlineLevel="0" collapsed="false">
      <c r="A121" s="5" t="s">
        <v>664</v>
      </c>
      <c r="B121" s="5" t="s">
        <v>105</v>
      </c>
      <c r="C121" s="5" t="s">
        <v>665</v>
      </c>
      <c r="D121" s="5" t="s">
        <v>666</v>
      </c>
      <c r="E121" s="8" t="n">
        <f aca="false">VALUE(LEFT(D121,4))</f>
        <v>1981</v>
      </c>
      <c r="F121" s="6" t="n">
        <f aca="false">IF(LEN(D121)=10,DATE(VALUE(LEFT(D121,4)),VALUE(MID(D121,6,2)),VALUE(RIGHT(D121,2))),IF(LEN(D121)=7,DATE(VALUE(LEFT(D121,4)),VALUE(MID(D121,6,2)),15),DATE(VALUE(LEFT(D121,4)),7,1)))</f>
        <v>29775</v>
      </c>
      <c r="G121" s="6" t="n">
        <f aca="false">INDEX(Acts!$D:$D,MATCH(B121,Acts!$B:$B,0))</f>
        <v>30006</v>
      </c>
      <c r="H121" s="5" t="str">
        <f aca="false">IF(F121&gt;G121,"yes","no")</f>
        <v>no</v>
      </c>
      <c r="I121" s="5" t="s">
        <v>218</v>
      </c>
      <c r="J121" s="5" t="n">
        <v>1</v>
      </c>
      <c r="K121" s="5" t="str">
        <f aca="false">IF(J121="","no","yes")</f>
        <v>yes</v>
      </c>
      <c r="L121" s="5" t="s">
        <v>510</v>
      </c>
      <c r="M121" s="7" t="n">
        <f aca="false">IF(L121="",0,IF(L121="Gold",0.5,IF(L121="Platinum",1,IF(L121="Diamond",10,IF(ISNUMBER(FIND("×",L121)),VALUE(LEFT(L121,FIND("×",L121)-1)),0)))))</f>
        <v>2</v>
      </c>
      <c r="N121" s="5" t="s">
        <v>667</v>
      </c>
      <c r="O121" s="5"/>
    </row>
    <row r="122" customFormat="false" ht="15" hidden="false" customHeight="false" outlineLevel="0" collapsed="false">
      <c r="A122" s="5" t="s">
        <v>668</v>
      </c>
      <c r="B122" s="5" t="s">
        <v>105</v>
      </c>
      <c r="C122" s="5" t="s">
        <v>669</v>
      </c>
      <c r="D122" s="5" t="s">
        <v>670</v>
      </c>
      <c r="E122" s="8" t="n">
        <f aca="false">VALUE(LEFT(D122,4))</f>
        <v>1982</v>
      </c>
      <c r="F122" s="6" t="n">
        <f aca="false">IF(LEN(D122)=10,DATE(VALUE(LEFT(D122,4)),VALUE(MID(D122,6,2)),VALUE(RIGHT(D122,2))),IF(LEN(D122)=7,DATE(VALUE(LEFT(D122,4)),VALUE(MID(D122,6,2)),15),DATE(VALUE(LEFT(D122,4)),7,1)))</f>
        <v>30152</v>
      </c>
      <c r="G122" s="6" t="n">
        <f aca="false">INDEX(Acts!$D:$D,MATCH(B122,Acts!$B:$B,0))</f>
        <v>30006</v>
      </c>
      <c r="H122" s="5" t="str">
        <f aca="false">IF(F122&gt;G122,"yes","no")</f>
        <v>yes</v>
      </c>
      <c r="I122" s="5" t="s">
        <v>218</v>
      </c>
      <c r="J122" s="5" t="n">
        <v>8</v>
      </c>
      <c r="K122" s="5" t="str">
        <f aca="false">IF(J122="","no","yes")</f>
        <v>yes</v>
      </c>
      <c r="L122" s="5" t="s">
        <v>271</v>
      </c>
      <c r="M122" s="7" t="n">
        <f aca="false">IF(L122="",0,IF(L122="Gold",0.5,IF(L122="Platinum",1,IF(L122="Diamond",10,IF(ISNUMBER(FIND("×",L122)),VALUE(LEFT(L122,FIND("×",L122)-1)),0)))))</f>
        <v>0.5</v>
      </c>
      <c r="N122" s="5" t="s">
        <v>667</v>
      </c>
      <c r="O122" s="5"/>
    </row>
    <row r="123" customFormat="false" ht="15" hidden="false" customHeight="false" outlineLevel="0" collapsed="false">
      <c r="A123" s="5" t="s">
        <v>671</v>
      </c>
      <c r="B123" s="5" t="s">
        <v>105</v>
      </c>
      <c r="C123" s="5" t="s">
        <v>672</v>
      </c>
      <c r="D123" s="5" t="s">
        <v>673</v>
      </c>
      <c r="E123" s="8" t="n">
        <f aca="false">VALUE(LEFT(D123,4))</f>
        <v>1984</v>
      </c>
      <c r="F123" s="6" t="n">
        <f aca="false">IF(LEN(D123)=10,DATE(VALUE(LEFT(D123,4)),VALUE(MID(D123,6,2)),VALUE(RIGHT(D123,2))),IF(LEN(D123)=7,DATE(VALUE(LEFT(D123,4)),VALUE(MID(D123,6,2)),15),DATE(VALUE(LEFT(D123,4)),7,1)))</f>
        <v>30760</v>
      </c>
      <c r="G123" s="6" t="n">
        <f aca="false">INDEX(Acts!$D:$D,MATCH(B123,Acts!$B:$B,0))</f>
        <v>30006</v>
      </c>
      <c r="H123" s="5" t="str">
        <f aca="false">IF(F123&gt;G123,"yes","no")</f>
        <v>yes</v>
      </c>
      <c r="I123" s="5" t="s">
        <v>218</v>
      </c>
      <c r="J123" s="5" t="n">
        <v>18</v>
      </c>
      <c r="K123" s="5" t="str">
        <f aca="false">IF(J123="","no","yes")</f>
        <v>yes</v>
      </c>
      <c r="L123" s="5"/>
      <c r="M123" s="7" t="n">
        <f aca="false">IF(L123="",0,IF(L123="Gold",0.5,IF(L123="Platinum",1,IF(L123="Diamond",10,IF(ISNUMBER(FIND("×",L123)),VALUE(LEFT(L123,FIND("×",L123)-1)),0)))))</f>
        <v>0</v>
      </c>
      <c r="N123" s="5" t="s">
        <v>667</v>
      </c>
      <c r="O123" s="5"/>
    </row>
    <row r="124" customFormat="false" ht="15" hidden="false" customHeight="false" outlineLevel="0" collapsed="false">
      <c r="A124" s="5" t="s">
        <v>674</v>
      </c>
      <c r="B124" s="5" t="s">
        <v>105</v>
      </c>
      <c r="C124" s="5" t="s">
        <v>675</v>
      </c>
      <c r="D124" s="5" t="s">
        <v>676</v>
      </c>
      <c r="E124" s="8" t="n">
        <f aca="false">VALUE(LEFT(D124,4))</f>
        <v>2001</v>
      </c>
      <c r="F124" s="6" t="n">
        <f aca="false">IF(LEN(D124)=10,DATE(VALUE(LEFT(D124,4)),VALUE(MID(D124,6,2)),VALUE(RIGHT(D124,2))),IF(LEN(D124)=7,DATE(VALUE(LEFT(D124,4)),VALUE(MID(D124,6,2)),15),DATE(VALUE(LEFT(D124,4)),7,1)))</f>
        <v>37026</v>
      </c>
      <c r="G124" s="6" t="n">
        <f aca="false">INDEX(Acts!$D:$D,MATCH(B124,Acts!$B:$B,0))</f>
        <v>30006</v>
      </c>
      <c r="H124" s="5" t="str">
        <f aca="false">IF(F124&gt;G124,"yes","no")</f>
        <v>yes</v>
      </c>
      <c r="I124" s="5" t="s">
        <v>218</v>
      </c>
      <c r="J124" s="5" t="n">
        <v>57</v>
      </c>
      <c r="K124" s="5" t="str">
        <f aca="false">IF(J124="","no","yes")</f>
        <v>yes</v>
      </c>
      <c r="L124" s="5"/>
      <c r="M124" s="7" t="n">
        <f aca="false">IF(L124="",0,IF(L124="Gold",0.5,IF(L124="Platinum",1,IF(L124="Diamond",10,IF(ISNUMBER(FIND("×",L124)),VALUE(LEFT(L124,FIND("×",L124)-1)),0)))))</f>
        <v>0</v>
      </c>
      <c r="N124" s="5" t="s">
        <v>667</v>
      </c>
      <c r="O124" s="5"/>
    </row>
    <row r="125" customFormat="false" ht="15" hidden="false" customHeight="false" outlineLevel="0" collapsed="false">
      <c r="A125" s="5" t="s">
        <v>677</v>
      </c>
      <c r="B125" s="5" t="s">
        <v>108</v>
      </c>
      <c r="C125" s="5" t="s">
        <v>678</v>
      </c>
      <c r="D125" s="5" t="s">
        <v>679</v>
      </c>
      <c r="E125" s="8" t="n">
        <f aca="false">VALUE(LEFT(D125,4))</f>
        <v>1979</v>
      </c>
      <c r="F125" s="6" t="n">
        <f aca="false">IF(LEN(D125)=10,DATE(VALUE(LEFT(D125,4)),VALUE(MID(D125,6,2)),VALUE(RIGHT(D125,2))),IF(LEN(D125)=7,DATE(VALUE(LEFT(D125,4)),VALUE(MID(D125,6,2)),15),DATE(VALUE(LEFT(D125,4)),7,1)))</f>
        <v>29133</v>
      </c>
      <c r="G125" s="6" t="n">
        <f aca="false">INDEX(Acts!$D:$D,MATCH(B125,Acts!$B:$B,0))</f>
        <v>30370</v>
      </c>
      <c r="H125" s="5" t="str">
        <f aca="false">IF(F125&gt;G125,"yes","no")</f>
        <v>no</v>
      </c>
      <c r="I125" s="5" t="s">
        <v>230</v>
      </c>
      <c r="J125" s="5"/>
      <c r="K125" s="5" t="str">
        <f aca="false">IF(J125="","no","yes")</f>
        <v>no</v>
      </c>
      <c r="L125" s="5"/>
      <c r="M125" s="7" t="n">
        <f aca="false">IF(L125="",0,IF(L125="Gold",0.5,IF(L125="Platinum",1,IF(L125="Diamond",10,IF(ISNUMBER(FIND("×",L125)),VALUE(LEFT(L125,FIND("×",L125)-1)),0)))))</f>
        <v>0</v>
      </c>
      <c r="N125" s="5" t="s">
        <v>680</v>
      </c>
      <c r="O125" s="5" t="s">
        <v>681</v>
      </c>
    </row>
    <row r="126" customFormat="false" ht="15" hidden="false" customHeight="false" outlineLevel="0" collapsed="false">
      <c r="A126" s="5" t="s">
        <v>682</v>
      </c>
      <c r="B126" s="5" t="s">
        <v>108</v>
      </c>
      <c r="C126" s="5" t="s">
        <v>683</v>
      </c>
      <c r="D126" s="5" t="s">
        <v>684</v>
      </c>
      <c r="E126" s="8" t="n">
        <f aca="false">VALUE(LEFT(D126,4))</f>
        <v>1980</v>
      </c>
      <c r="F126" s="6" t="n">
        <f aca="false">IF(LEN(D126)=10,DATE(VALUE(LEFT(D126,4)),VALUE(MID(D126,6,2)),VALUE(RIGHT(D126,2))),IF(LEN(D126)=7,DATE(VALUE(LEFT(D126,4)),VALUE(MID(D126,6,2)),15),DATE(VALUE(LEFT(D126,4)),7,1)))</f>
        <v>29357</v>
      </c>
      <c r="G126" s="6" t="n">
        <f aca="false">INDEX(Acts!$D:$D,MATCH(B126,Acts!$B:$B,0))</f>
        <v>30370</v>
      </c>
      <c r="H126" s="5" t="str">
        <f aca="false">IF(F126&gt;G126,"yes","no")</f>
        <v>no</v>
      </c>
      <c r="I126" s="5" t="s">
        <v>230</v>
      </c>
      <c r="J126" s="5"/>
      <c r="K126" s="5" t="str">
        <f aca="false">IF(J126="","no","yes")</f>
        <v>no</v>
      </c>
      <c r="L126" s="5"/>
      <c r="M126" s="7" t="n">
        <f aca="false">IF(L126="",0,IF(L126="Gold",0.5,IF(L126="Platinum",1,IF(L126="Diamond",10,IF(ISNUMBER(FIND("×",L126)),VALUE(LEFT(L126,FIND("×",L126)-1)),0)))))</f>
        <v>0</v>
      </c>
      <c r="N126" s="5" t="s">
        <v>680</v>
      </c>
      <c r="O126" s="5" t="s">
        <v>685</v>
      </c>
    </row>
    <row r="127" customFormat="false" ht="15" hidden="false" customHeight="false" outlineLevel="0" collapsed="false">
      <c r="A127" s="5" t="s">
        <v>686</v>
      </c>
      <c r="B127" s="5" t="s">
        <v>108</v>
      </c>
      <c r="C127" s="5" t="s">
        <v>687</v>
      </c>
      <c r="D127" s="5" t="s">
        <v>565</v>
      </c>
      <c r="E127" s="8" t="n">
        <f aca="false">VALUE(LEFT(D127,4))</f>
        <v>1981</v>
      </c>
      <c r="F127" s="6" t="n">
        <f aca="false">IF(LEN(D127)=10,DATE(VALUE(LEFT(D127,4)),VALUE(MID(D127,6,2)),VALUE(RIGHT(D127,2))),IF(LEN(D127)=7,DATE(VALUE(LEFT(D127,4)),VALUE(MID(D127,6,2)),15),DATE(VALUE(LEFT(D127,4)),7,1)))</f>
        <v>29875</v>
      </c>
      <c r="G127" s="6" t="n">
        <f aca="false">INDEX(Acts!$D:$D,MATCH(B127,Acts!$B:$B,0))</f>
        <v>30370</v>
      </c>
      <c r="H127" s="5" t="str">
        <f aca="false">IF(F127&gt;G127,"yes","no")</f>
        <v>no</v>
      </c>
      <c r="I127" s="5" t="s">
        <v>218</v>
      </c>
      <c r="J127" s="5" t="n">
        <v>3</v>
      </c>
      <c r="K127" s="5" t="str">
        <f aca="false">IF(J127="","no","yes")</f>
        <v>yes</v>
      </c>
      <c r="L127" s="5" t="s">
        <v>271</v>
      </c>
      <c r="M127" s="7" t="n">
        <f aca="false">IF(L127="",0,IF(L127="Gold",0.5,IF(L127="Platinum",1,IF(L127="Diamond",10,IF(ISNUMBER(FIND("×",L127)),VALUE(LEFT(L127,FIND("×",L127)-1)),0)))))</f>
        <v>0.5</v>
      </c>
      <c r="N127" s="5" t="s">
        <v>680</v>
      </c>
      <c r="O127" s="5" t="s">
        <v>688</v>
      </c>
    </row>
    <row r="128" customFormat="false" ht="15" hidden="false" customHeight="false" outlineLevel="0" collapsed="false">
      <c r="A128" s="5" t="s">
        <v>689</v>
      </c>
      <c r="B128" s="5" t="s">
        <v>108</v>
      </c>
      <c r="C128" s="5" t="s">
        <v>690</v>
      </c>
      <c r="D128" s="5" t="s">
        <v>691</v>
      </c>
      <c r="E128" s="8" t="n">
        <f aca="false">VALUE(LEFT(D128,4))</f>
        <v>1984</v>
      </c>
      <c r="F128" s="6" t="n">
        <f aca="false">IF(LEN(D128)=10,DATE(VALUE(LEFT(D128,4)),VALUE(MID(D128,6,2)),VALUE(RIGHT(D128,2))),IF(LEN(D128)=7,DATE(VALUE(LEFT(D128,4)),VALUE(MID(D128,6,2)),15),DATE(VALUE(LEFT(D128,4)),7,1)))</f>
        <v>30809</v>
      </c>
      <c r="G128" s="6" t="n">
        <f aca="false">INDEX(Acts!$D:$D,MATCH(B128,Acts!$B:$B,0))</f>
        <v>30370</v>
      </c>
      <c r="H128" s="5" t="str">
        <f aca="false">IF(F128&gt;G128,"yes","no")</f>
        <v>yes</v>
      </c>
      <c r="I128" s="5" t="s">
        <v>218</v>
      </c>
      <c r="J128" s="5" t="n">
        <v>62</v>
      </c>
      <c r="K128" s="5" t="str">
        <f aca="false">IF(J128="","no","yes")</f>
        <v>yes</v>
      </c>
      <c r="L128" s="5"/>
      <c r="M128" s="7" t="n">
        <f aca="false">IF(L128="",0,IF(L128="Gold",0.5,IF(L128="Platinum",1,IF(L128="Diamond",10,IF(ISNUMBER(FIND("×",L128)),VALUE(LEFT(L128,FIND("×",L128)-1)),0)))))</f>
        <v>0</v>
      </c>
      <c r="N128" s="5" t="s">
        <v>680</v>
      </c>
      <c r="O128" s="5"/>
    </row>
    <row r="129" customFormat="false" ht="15" hidden="false" customHeight="false" outlineLevel="0" collapsed="false">
      <c r="A129" s="5" t="s">
        <v>692</v>
      </c>
      <c r="B129" s="5" t="s">
        <v>108</v>
      </c>
      <c r="C129" s="5" t="s">
        <v>693</v>
      </c>
      <c r="D129" s="5" t="s">
        <v>694</v>
      </c>
      <c r="E129" s="8" t="n">
        <f aca="false">VALUE(LEFT(D129,4))</f>
        <v>1986</v>
      </c>
      <c r="F129" s="6" t="n">
        <f aca="false">IF(LEN(D129)=10,DATE(VALUE(LEFT(D129,4)),VALUE(MID(D129,6,2)),VALUE(RIGHT(D129,2))),IF(LEN(D129)=7,DATE(VALUE(LEFT(D129,4)),VALUE(MID(D129,6,2)),15),DATE(VALUE(LEFT(D129,4)),7,1)))</f>
        <v>31663</v>
      </c>
      <c r="G129" s="6" t="n">
        <f aca="false">INDEX(Acts!$D:$D,MATCH(B129,Acts!$B:$B,0))</f>
        <v>30370</v>
      </c>
      <c r="H129" s="5" t="str">
        <f aca="false">IF(F129&gt;G129,"yes","no")</f>
        <v>yes</v>
      </c>
      <c r="I129" s="5" t="s">
        <v>218</v>
      </c>
      <c r="J129" s="5" t="n">
        <v>24</v>
      </c>
      <c r="K129" s="5" t="str">
        <f aca="false">IF(J129="","no","yes")</f>
        <v>yes</v>
      </c>
      <c r="L129" s="5"/>
      <c r="M129" s="7" t="n">
        <f aca="false">IF(L129="",0,IF(L129="Gold",0.5,IF(L129="Platinum",1,IF(L129="Diamond",10,IF(ISNUMBER(FIND("×",L129)),VALUE(LEFT(L129,FIND("×",L129)-1)),0)))))</f>
        <v>0</v>
      </c>
      <c r="N129" s="5" t="s">
        <v>680</v>
      </c>
      <c r="O129" s="5"/>
    </row>
    <row r="130" customFormat="false" ht="15" hidden="false" customHeight="false" outlineLevel="0" collapsed="false">
      <c r="A130" s="5" t="s">
        <v>695</v>
      </c>
      <c r="B130" s="5" t="s">
        <v>108</v>
      </c>
      <c r="C130" s="5" t="s">
        <v>696</v>
      </c>
      <c r="D130" s="5" t="s">
        <v>697</v>
      </c>
      <c r="E130" s="8" t="n">
        <f aca="false">VALUE(LEFT(D130,4))</f>
        <v>1990</v>
      </c>
      <c r="F130" s="6" t="n">
        <f aca="false">IF(LEN(D130)=10,DATE(VALUE(LEFT(D130,4)),VALUE(MID(D130,6,2)),VALUE(RIGHT(D130,2))),IF(LEN(D130)=7,DATE(VALUE(LEFT(D130,4)),VALUE(MID(D130,6,2)),15),DATE(VALUE(LEFT(D130,4)),7,1)))</f>
        <v>33133</v>
      </c>
      <c r="G130" s="6" t="n">
        <f aca="false">INDEX(Acts!$D:$D,MATCH(B130,Acts!$B:$B,0))</f>
        <v>30370</v>
      </c>
      <c r="H130" s="5" t="str">
        <f aca="false">IF(F130&gt;G130,"yes","no")</f>
        <v>yes</v>
      </c>
      <c r="I130" s="5" t="s">
        <v>218</v>
      </c>
      <c r="J130" s="5"/>
      <c r="K130" s="5" t="str">
        <f aca="false">IF(J130="","no","yes")</f>
        <v>no</v>
      </c>
      <c r="L130" s="5"/>
      <c r="M130" s="7" t="n">
        <f aca="false">IF(L130="",0,IF(L130="Gold",0.5,IF(L130="Platinum",1,IF(L130="Diamond",10,IF(ISNUMBER(FIND("×",L130)),VALUE(LEFT(L130,FIND("×",L130)-1)),0)))))</f>
        <v>0</v>
      </c>
      <c r="N130" s="5" t="s">
        <v>698</v>
      </c>
      <c r="O130" s="5" t="s">
        <v>699</v>
      </c>
    </row>
    <row r="131" customFormat="false" ht="15" hidden="false" customHeight="false" outlineLevel="0" collapsed="false">
      <c r="A131" s="5" t="s">
        <v>700</v>
      </c>
      <c r="B131" s="5" t="s">
        <v>108</v>
      </c>
      <c r="C131" s="5" t="s">
        <v>701</v>
      </c>
      <c r="D131" s="5" t="s">
        <v>702</v>
      </c>
      <c r="E131" s="8" t="n">
        <f aca="false">VALUE(LEFT(D131,4))</f>
        <v>1995</v>
      </c>
      <c r="F131" s="6" t="n">
        <f aca="false">IF(LEN(D131)=10,DATE(VALUE(LEFT(D131,4)),VALUE(MID(D131,6,2)),VALUE(RIGHT(D131,2))),IF(LEN(D131)=7,DATE(VALUE(LEFT(D131,4)),VALUE(MID(D131,6,2)),15),DATE(VALUE(LEFT(D131,4)),7,1)))</f>
        <v>34722</v>
      </c>
      <c r="G131" s="6" t="n">
        <f aca="false">INDEX(Acts!$D:$D,MATCH(B131,Acts!$B:$B,0))</f>
        <v>30370</v>
      </c>
      <c r="H131" s="5" t="str">
        <f aca="false">IF(F131&gt;G131,"yes","no")</f>
        <v>yes</v>
      </c>
      <c r="I131" s="5" t="s">
        <v>218</v>
      </c>
      <c r="J131" s="5"/>
      <c r="K131" s="5" t="str">
        <f aca="false">IF(J131="","no","yes")</f>
        <v>no</v>
      </c>
      <c r="L131" s="5"/>
      <c r="M131" s="7" t="n">
        <f aca="false">IF(L131="",0,IF(L131="Gold",0.5,IF(L131="Platinum",1,IF(L131="Diamond",10,IF(ISNUMBER(FIND("×",L131)),VALUE(LEFT(L131,FIND("×",L131)-1)),0)))))</f>
        <v>0</v>
      </c>
      <c r="N131" s="5" t="s">
        <v>703</v>
      </c>
      <c r="O131" s="5" t="s">
        <v>704</v>
      </c>
    </row>
    <row r="132" customFormat="false" ht="15" hidden="false" customHeight="false" outlineLevel="0" collapsed="false">
      <c r="A132" s="5" t="s">
        <v>705</v>
      </c>
      <c r="B132" s="5" t="s">
        <v>108</v>
      </c>
      <c r="C132" s="5" t="s">
        <v>706</v>
      </c>
      <c r="D132" s="5" t="s">
        <v>707</v>
      </c>
      <c r="E132" s="8" t="n">
        <f aca="false">VALUE(LEFT(D132,4))</f>
        <v>2001</v>
      </c>
      <c r="F132" s="6" t="n">
        <f aca="false">IF(LEN(D132)=10,DATE(VALUE(LEFT(D132,4)),VALUE(MID(D132,6,2)),VALUE(RIGHT(D132,2))),IF(LEN(D132)=7,DATE(VALUE(LEFT(D132,4)),VALUE(MID(D132,6,2)),15),DATE(VALUE(LEFT(D132,4)),7,1)))</f>
        <v>37078</v>
      </c>
      <c r="G132" s="6" t="n">
        <f aca="false">INDEX(Acts!$D:$D,MATCH(B132,Acts!$B:$B,0))</f>
        <v>30370</v>
      </c>
      <c r="H132" s="5" t="str">
        <f aca="false">IF(F132&gt;G132,"yes","no")</f>
        <v>yes</v>
      </c>
      <c r="I132" s="5" t="s">
        <v>218</v>
      </c>
      <c r="J132" s="5"/>
      <c r="K132" s="5" t="str">
        <f aca="false">IF(J132="","no","yes")</f>
        <v>no</v>
      </c>
      <c r="L132" s="5"/>
      <c r="M132" s="7" t="n">
        <f aca="false">IF(L132="",0,IF(L132="Gold",0.5,IF(L132="Platinum",1,IF(L132="Diamond",10,IF(ISNUMBER(FIND("×",L132)),VALUE(LEFT(L132,FIND("×",L132)-1)),0)))))</f>
        <v>0</v>
      </c>
      <c r="N132" s="5" t="s">
        <v>708</v>
      </c>
      <c r="O132" s="5" t="s">
        <v>709</v>
      </c>
    </row>
    <row r="133" customFormat="false" ht="15" hidden="false" customHeight="false" outlineLevel="0" collapsed="false">
      <c r="A133" s="5" t="s">
        <v>710</v>
      </c>
      <c r="B133" s="5" t="s">
        <v>108</v>
      </c>
      <c r="C133" s="5" t="s">
        <v>711</v>
      </c>
      <c r="D133" s="5" t="s">
        <v>712</v>
      </c>
      <c r="E133" s="8" t="n">
        <f aca="false">VALUE(LEFT(D133,4))</f>
        <v>2011</v>
      </c>
      <c r="F133" s="6" t="n">
        <f aca="false">IF(LEN(D133)=10,DATE(VALUE(LEFT(D133,4)),VALUE(MID(D133,6,2)),VALUE(RIGHT(D133,2))),IF(LEN(D133)=7,DATE(VALUE(LEFT(D133,4)),VALUE(MID(D133,6,2)),15),DATE(VALUE(LEFT(D133,4)),7,1)))</f>
        <v>40623</v>
      </c>
      <c r="G133" s="6" t="n">
        <f aca="false">INDEX(Acts!$D:$D,MATCH(B133,Acts!$B:$B,0))</f>
        <v>30370</v>
      </c>
      <c r="H133" s="5" t="str">
        <f aca="false">IF(F133&gt;G133,"yes","no")</f>
        <v>yes</v>
      </c>
      <c r="I133" s="5" t="s">
        <v>218</v>
      </c>
      <c r="J133" s="5"/>
      <c r="K133" s="5" t="str">
        <f aca="false">IF(J133="","no","yes")</f>
        <v>no</v>
      </c>
      <c r="L133" s="5"/>
      <c r="M133" s="7" t="n">
        <f aca="false">IF(L133="",0,IF(L133="Gold",0.5,IF(L133="Platinum",1,IF(L133="Diamond",10,IF(ISNUMBER(FIND("×",L133)),VALUE(LEFT(L133,FIND("×",L133)-1)),0)))))</f>
        <v>0</v>
      </c>
      <c r="N133" s="5" t="s">
        <v>713</v>
      </c>
      <c r="O133" s="5" t="s">
        <v>714</v>
      </c>
    </row>
    <row r="134" customFormat="false" ht="15" hidden="false" customHeight="false" outlineLevel="0" collapsed="false">
      <c r="A134" s="5" t="s">
        <v>715</v>
      </c>
      <c r="B134" s="5" t="s">
        <v>111</v>
      </c>
      <c r="C134" s="5" t="s">
        <v>716</v>
      </c>
      <c r="D134" s="5" t="s">
        <v>717</v>
      </c>
      <c r="E134" s="8" t="n">
        <f aca="false">VALUE(LEFT(D134,4))</f>
        <v>1987</v>
      </c>
      <c r="F134" s="6" t="n">
        <f aca="false">IF(LEN(D134)=10,DATE(VALUE(LEFT(D134,4)),VALUE(MID(D134,6,2)),VALUE(RIGHT(D134,2))),IF(LEN(D134)=7,DATE(VALUE(LEFT(D134,4)),VALUE(MID(D134,6,2)),15),DATE(VALUE(LEFT(D134,4)),7,1)))</f>
        <v>31898</v>
      </c>
      <c r="G134" s="6" t="n">
        <f aca="false">INDEX(Acts!$D:$D,MATCH(B134,Acts!$B:$B,0))</f>
        <v>32925</v>
      </c>
      <c r="H134" s="5" t="str">
        <f aca="false">IF(F134&gt;G134,"yes","no")</f>
        <v>no</v>
      </c>
      <c r="I134" s="5" t="s">
        <v>218</v>
      </c>
      <c r="J134" s="5" t="n">
        <v>159</v>
      </c>
      <c r="K134" s="5" t="str">
        <f aca="false">IF(J134="","no","yes")</f>
        <v>yes</v>
      </c>
      <c r="L134" s="5" t="s">
        <v>271</v>
      </c>
      <c r="M134" s="7" t="n">
        <f aca="false">IF(L134="",0,IF(L134="Gold",0.5,IF(L134="Platinum",1,IF(L134="Diamond",10,IF(ISNUMBER(FIND("×",L134)),VALUE(LEFT(L134,FIND("×",L134)-1)),0)))))</f>
        <v>0.5</v>
      </c>
      <c r="N134" s="5" t="s">
        <v>718</v>
      </c>
      <c r="O134" s="5" t="s">
        <v>719</v>
      </c>
    </row>
    <row r="135" customFormat="false" ht="15" hidden="false" customHeight="false" outlineLevel="0" collapsed="false">
      <c r="A135" s="5" t="s">
        <v>720</v>
      </c>
      <c r="B135" s="5" t="s">
        <v>111</v>
      </c>
      <c r="C135" s="5" t="s">
        <v>111</v>
      </c>
      <c r="D135" s="5" t="s">
        <v>721</v>
      </c>
      <c r="E135" s="8" t="n">
        <f aca="false">VALUE(LEFT(D135,4))</f>
        <v>1989</v>
      </c>
      <c r="F135" s="6" t="n">
        <f aca="false">IF(LEN(D135)=10,DATE(VALUE(LEFT(D135,4)),VALUE(MID(D135,6,2)),VALUE(RIGHT(D135,2))),IF(LEN(D135)=7,DATE(VALUE(LEFT(D135,4)),VALUE(MID(D135,6,2)),15),DATE(VALUE(LEFT(D135,4)),7,1)))</f>
        <v>32567</v>
      </c>
      <c r="G135" s="6" t="n">
        <f aca="false">INDEX(Acts!$D:$D,MATCH(B135,Acts!$B:$B,0))</f>
        <v>32925</v>
      </c>
      <c r="H135" s="5" t="str">
        <f aca="false">IF(F135&gt;G135,"yes","no")</f>
        <v>no</v>
      </c>
      <c r="I135" s="5" t="s">
        <v>218</v>
      </c>
      <c r="J135" s="5" t="n">
        <v>22</v>
      </c>
      <c r="K135" s="5" t="str">
        <f aca="false">IF(J135="","no","yes")</f>
        <v>yes</v>
      </c>
      <c r="L135" s="5" t="s">
        <v>510</v>
      </c>
      <c r="M135" s="7" t="n">
        <f aca="false">IF(L135="",0,IF(L135="Gold",0.5,IF(L135="Platinum",1,IF(L135="Diamond",10,IF(ISNUMBER(FIND("×",L135)),VALUE(LEFT(L135,FIND("×",L135)-1)),0)))))</f>
        <v>2</v>
      </c>
      <c r="N135" s="5" t="s">
        <v>718</v>
      </c>
      <c r="O135" s="5" t="s">
        <v>722</v>
      </c>
    </row>
    <row r="136" customFormat="false" ht="15" hidden="false" customHeight="false" outlineLevel="0" collapsed="false">
      <c r="A136" s="5" t="s">
        <v>723</v>
      </c>
      <c r="B136" s="5" t="s">
        <v>111</v>
      </c>
      <c r="C136" s="5" t="s">
        <v>724</v>
      </c>
      <c r="D136" s="5" t="s">
        <v>725</v>
      </c>
      <c r="E136" s="8" t="n">
        <f aca="false">VALUE(LEFT(D136,4))</f>
        <v>1990</v>
      </c>
      <c r="F136" s="6" t="n">
        <f aca="false">IF(LEN(D136)=10,DATE(VALUE(LEFT(D136,4)),VALUE(MID(D136,6,2)),VALUE(RIGHT(D136,2))),IF(LEN(D136)=7,DATE(VALUE(LEFT(D136,4)),VALUE(MID(D136,6,2)),15),DATE(VALUE(LEFT(D136,4)),7,1)))</f>
        <v>33137</v>
      </c>
      <c r="G136" s="6" t="n">
        <f aca="false">INDEX(Acts!$D:$D,MATCH(B136,Acts!$B:$B,0))</f>
        <v>32925</v>
      </c>
      <c r="H136" s="5" t="str">
        <f aca="false">IF(F136&gt;G136,"yes","no")</f>
        <v>yes</v>
      </c>
      <c r="I136" s="5" t="s">
        <v>218</v>
      </c>
      <c r="J136" s="5" t="n">
        <v>43</v>
      </c>
      <c r="K136" s="5" t="str">
        <f aca="false">IF(J136="","no","yes")</f>
        <v>yes</v>
      </c>
      <c r="L136" s="5" t="s">
        <v>271</v>
      </c>
      <c r="M136" s="7" t="n">
        <f aca="false">IF(L136="",0,IF(L136="Gold",0.5,IF(L136="Platinum",1,IF(L136="Diamond",10,IF(ISNUMBER(FIND("×",L136)),VALUE(LEFT(L136,FIND("×",L136)-1)),0)))))</f>
        <v>0.5</v>
      </c>
      <c r="N136" s="5" t="s">
        <v>718</v>
      </c>
      <c r="O136" s="5" t="s">
        <v>719</v>
      </c>
    </row>
    <row r="137" customFormat="false" ht="15" hidden="false" customHeight="false" outlineLevel="0" collapsed="false">
      <c r="A137" s="5" t="s">
        <v>726</v>
      </c>
      <c r="B137" s="5" t="s">
        <v>111</v>
      </c>
      <c r="C137" s="5" t="s">
        <v>727</v>
      </c>
      <c r="D137" s="5" t="s">
        <v>728</v>
      </c>
      <c r="E137" s="8" t="n">
        <f aca="false">VALUE(LEFT(D137,4))</f>
        <v>1992</v>
      </c>
      <c r="F137" s="6" t="n">
        <f aca="false">IF(LEN(D137)=10,DATE(VALUE(LEFT(D137,4)),VALUE(MID(D137,6,2)),VALUE(RIGHT(D137,2))),IF(LEN(D137)=7,DATE(VALUE(LEFT(D137,4)),VALUE(MID(D137,6,2)),15),DATE(VALUE(LEFT(D137,4)),7,1)))</f>
        <v>33736</v>
      </c>
      <c r="G137" s="6" t="n">
        <f aca="false">INDEX(Acts!$D:$D,MATCH(B137,Acts!$B:$B,0))</f>
        <v>32925</v>
      </c>
      <c r="H137" s="5" t="str">
        <f aca="false">IF(F137&gt;G137,"yes","no")</f>
        <v>yes</v>
      </c>
      <c r="I137" s="5" t="s">
        <v>218</v>
      </c>
      <c r="J137" s="5" t="n">
        <v>21</v>
      </c>
      <c r="K137" s="5" t="str">
        <f aca="false">IF(J137="","no","yes")</f>
        <v>yes</v>
      </c>
      <c r="L137" s="5" t="s">
        <v>219</v>
      </c>
      <c r="M137" s="7" t="n">
        <f aca="false">IF(L137="",0,IF(L137="Gold",0.5,IF(L137="Platinum",1,IF(L137="Diamond",10,IF(ISNUMBER(FIND("×",L137)),VALUE(LEFT(L137,FIND("×",L137)-1)),0)))))</f>
        <v>1</v>
      </c>
      <c r="N137" s="5" t="s">
        <v>718</v>
      </c>
      <c r="O137" s="5" t="s">
        <v>719</v>
      </c>
    </row>
    <row r="138" customFormat="false" ht="15" hidden="false" customHeight="false" outlineLevel="0" collapsed="false">
      <c r="A138" s="5" t="s">
        <v>729</v>
      </c>
      <c r="B138" s="5" t="s">
        <v>111</v>
      </c>
      <c r="C138" s="5" t="s">
        <v>730</v>
      </c>
      <c r="D138" s="5" t="s">
        <v>731</v>
      </c>
      <c r="E138" s="8" t="n">
        <f aca="false">VALUE(LEFT(D138,4))</f>
        <v>1994</v>
      </c>
      <c r="F138" s="6" t="n">
        <f aca="false">IF(LEN(D138)=10,DATE(VALUE(LEFT(D138,4)),VALUE(MID(D138,6,2)),VALUE(RIGHT(D138,2))),IF(LEN(D138)=7,DATE(VALUE(LEFT(D138,4)),VALUE(MID(D138,6,2)),15),DATE(VALUE(LEFT(D138,4)),7,1)))</f>
        <v>34464</v>
      </c>
      <c r="G138" s="6" t="n">
        <f aca="false">INDEX(Acts!$D:$D,MATCH(B138,Acts!$B:$B,0))</f>
        <v>32925</v>
      </c>
      <c r="H138" s="5" t="str">
        <f aca="false">IF(F138&gt;G138,"yes","no")</f>
        <v>yes</v>
      </c>
      <c r="I138" s="5" t="s">
        <v>218</v>
      </c>
      <c r="J138" s="5" t="n">
        <v>9</v>
      </c>
      <c r="K138" s="5" t="str">
        <f aca="false">IF(J138="","no","yes")</f>
        <v>yes</v>
      </c>
      <c r="L138" s="5" t="s">
        <v>219</v>
      </c>
      <c r="M138" s="7" t="n">
        <f aca="false">IF(L138="",0,IF(L138="Gold",0.5,IF(L138="Platinum",1,IF(L138="Diamond",10,IF(ISNUMBER(FIND("×",L138)),VALUE(LEFT(L138,FIND("×",L138)-1)),0)))))</f>
        <v>1</v>
      </c>
      <c r="N138" s="5" t="s">
        <v>718</v>
      </c>
      <c r="O138" s="5" t="s">
        <v>719</v>
      </c>
    </row>
    <row r="139" customFormat="false" ht="15" hidden="false" customHeight="false" outlineLevel="0" collapsed="false">
      <c r="A139" s="5" t="s">
        <v>732</v>
      </c>
      <c r="B139" s="5" t="s">
        <v>111</v>
      </c>
      <c r="C139" s="5" t="s">
        <v>733</v>
      </c>
      <c r="D139" s="5" t="s">
        <v>734</v>
      </c>
      <c r="E139" s="8" t="n">
        <f aca="false">VALUE(LEFT(D139,4))</f>
        <v>1997</v>
      </c>
      <c r="F139" s="6" t="n">
        <f aca="false">IF(LEN(D139)=10,DATE(VALUE(LEFT(D139,4)),VALUE(MID(D139,6,2)),VALUE(RIGHT(D139,2))),IF(LEN(D139)=7,DATE(VALUE(LEFT(D139,4)),VALUE(MID(D139,6,2)),15),DATE(VALUE(LEFT(D139,4)),7,1)))</f>
        <v>35549</v>
      </c>
      <c r="G139" s="6" t="n">
        <f aca="false">INDEX(Acts!$D:$D,MATCH(B139,Acts!$B:$B,0))</f>
        <v>32925</v>
      </c>
      <c r="H139" s="5" t="str">
        <f aca="false">IF(F139&gt;G139,"yes","no")</f>
        <v>yes</v>
      </c>
      <c r="I139" s="5" t="s">
        <v>218</v>
      </c>
      <c r="J139" s="5" t="n">
        <v>7</v>
      </c>
      <c r="K139" s="5" t="str">
        <f aca="false">IF(J139="","no","yes")</f>
        <v>yes</v>
      </c>
      <c r="L139" s="5" t="s">
        <v>271</v>
      </c>
      <c r="M139" s="7" t="n">
        <f aca="false">IF(L139="",0,IF(L139="Gold",0.5,IF(L139="Platinum",1,IF(L139="Diamond",10,IF(ISNUMBER(FIND("×",L139)),VALUE(LEFT(L139,FIND("×",L139)-1)),0)))))</f>
        <v>0.5</v>
      </c>
      <c r="N139" s="5" t="s">
        <v>718</v>
      </c>
      <c r="O139" s="5" t="s">
        <v>719</v>
      </c>
    </row>
    <row r="140" customFormat="false" ht="15" hidden="false" customHeight="false" outlineLevel="0" collapsed="false">
      <c r="A140" s="5" t="s">
        <v>735</v>
      </c>
      <c r="B140" s="5" t="s">
        <v>111</v>
      </c>
      <c r="C140" s="5" t="s">
        <v>736</v>
      </c>
      <c r="D140" s="5" t="s">
        <v>737</v>
      </c>
      <c r="E140" s="8" t="n">
        <f aca="false">VALUE(LEFT(D140,4))</f>
        <v>1999</v>
      </c>
      <c r="F140" s="6" t="n">
        <f aca="false">IF(LEN(D140)=10,DATE(VALUE(LEFT(D140,4)),VALUE(MID(D140,6,2)),VALUE(RIGHT(D140,2))),IF(LEN(D140)=7,DATE(VALUE(LEFT(D140,4)),VALUE(MID(D140,6,2)),15),DATE(VALUE(LEFT(D140,4)),7,1)))</f>
        <v>36431</v>
      </c>
      <c r="G140" s="6" t="n">
        <f aca="false">INDEX(Acts!$D:$D,MATCH(B140,Acts!$B:$B,0))</f>
        <v>32925</v>
      </c>
      <c r="H140" s="5" t="str">
        <f aca="false">IF(F140&gt;G140,"yes","no")</f>
        <v>yes</v>
      </c>
      <c r="I140" s="5" t="s">
        <v>218</v>
      </c>
      <c r="J140" s="5" t="n">
        <v>34</v>
      </c>
      <c r="K140" s="5" t="str">
        <f aca="false">IF(J140="","no","yes")</f>
        <v>yes</v>
      </c>
      <c r="L140" s="5"/>
      <c r="M140" s="7" t="n">
        <f aca="false">IF(L140="",0,IF(L140="Gold",0.5,IF(L140="Platinum",1,IF(L140="Diamond",10,IF(ISNUMBER(FIND("×",L140)),VALUE(LEFT(L140,FIND("×",L140)-1)),0)))))</f>
        <v>0</v>
      </c>
      <c r="N140" s="5" t="s">
        <v>718</v>
      </c>
      <c r="O140" s="5" t="s">
        <v>719</v>
      </c>
    </row>
    <row r="141" customFormat="false" ht="15" hidden="false" customHeight="false" outlineLevel="0" collapsed="false">
      <c r="A141" s="5" t="s">
        <v>738</v>
      </c>
      <c r="B141" s="5" t="s">
        <v>111</v>
      </c>
      <c r="C141" s="5" t="s">
        <v>739</v>
      </c>
      <c r="D141" s="5" t="s">
        <v>740</v>
      </c>
      <c r="E141" s="8" t="n">
        <f aca="false">VALUE(LEFT(D141,4))</f>
        <v>2002</v>
      </c>
      <c r="F141" s="6" t="n">
        <f aca="false">IF(LEN(D141)=10,DATE(VALUE(LEFT(D141,4)),VALUE(MID(D141,6,2)),VALUE(RIGHT(D141,2))),IF(LEN(D141)=7,DATE(VALUE(LEFT(D141,4)),VALUE(MID(D141,6,2)),15),DATE(VALUE(LEFT(D141,4)),7,1)))</f>
        <v>37327</v>
      </c>
      <c r="G141" s="6" t="n">
        <f aca="false">INDEX(Acts!$D:$D,MATCH(B141,Acts!$B:$B,0))</f>
        <v>32925</v>
      </c>
      <c r="H141" s="5" t="str">
        <f aca="false">IF(F141&gt;G141,"yes","no")</f>
        <v>yes</v>
      </c>
      <c r="I141" s="5" t="s">
        <v>218</v>
      </c>
      <c r="J141" s="5" t="n">
        <v>30</v>
      </c>
      <c r="K141" s="5" t="str">
        <f aca="false">IF(J141="","no","yes")</f>
        <v>yes</v>
      </c>
      <c r="L141" s="5"/>
      <c r="M141" s="7" t="n">
        <f aca="false">IF(L141="",0,IF(L141="Gold",0.5,IF(L141="Platinum",1,IF(L141="Diamond",10,IF(ISNUMBER(FIND("×",L141)),VALUE(LEFT(L141,FIND("×",L141)-1)),0)))))</f>
        <v>0</v>
      </c>
      <c r="N141" s="5" t="s">
        <v>718</v>
      </c>
      <c r="O141" s="5" t="s">
        <v>719</v>
      </c>
    </row>
    <row r="142" customFormat="false" ht="15" hidden="false" customHeight="false" outlineLevel="0" collapsed="false">
      <c r="A142" s="5" t="s">
        <v>741</v>
      </c>
      <c r="B142" s="5" t="s">
        <v>111</v>
      </c>
      <c r="C142" s="5" t="s">
        <v>742</v>
      </c>
      <c r="D142" s="5" t="s">
        <v>743</v>
      </c>
      <c r="E142" s="8" t="n">
        <f aca="false">VALUE(LEFT(D142,4))</f>
        <v>2004</v>
      </c>
      <c r="F142" s="6" t="n">
        <f aca="false">IF(LEN(D142)=10,DATE(VALUE(LEFT(D142,4)),VALUE(MID(D142,6,2)),VALUE(RIGHT(D142,2))),IF(LEN(D142)=7,DATE(VALUE(LEFT(D142,4)),VALUE(MID(D142,6,2)),15),DATE(VALUE(LEFT(D142,4)),7,1)))</f>
        <v>38034</v>
      </c>
      <c r="G142" s="6" t="n">
        <f aca="false">INDEX(Acts!$D:$D,MATCH(B142,Acts!$B:$B,0))</f>
        <v>32925</v>
      </c>
      <c r="H142" s="5" t="str">
        <f aca="false">IF(F142&gt;G142,"yes","no")</f>
        <v>yes</v>
      </c>
      <c r="I142" s="5" t="s">
        <v>218</v>
      </c>
      <c r="J142" s="5" t="n">
        <v>35</v>
      </c>
      <c r="K142" s="5" t="str">
        <f aca="false">IF(J142="","no","yes")</f>
        <v>yes</v>
      </c>
      <c r="L142" s="5"/>
      <c r="M142" s="7" t="n">
        <f aca="false">IF(L142="",0,IF(L142="Gold",0.5,IF(L142="Platinum",1,IF(L142="Diamond",10,IF(ISNUMBER(FIND("×",L142)),VALUE(LEFT(L142,FIND("×",L142)-1)),0)))))</f>
        <v>0</v>
      </c>
      <c r="N142" s="5" t="s">
        <v>718</v>
      </c>
      <c r="O142" s="5" t="s">
        <v>719</v>
      </c>
    </row>
    <row r="143" customFormat="false" ht="15" hidden="false" customHeight="false" outlineLevel="0" collapsed="false">
      <c r="A143" s="5" t="s">
        <v>744</v>
      </c>
      <c r="B143" s="5" t="s">
        <v>111</v>
      </c>
      <c r="C143" s="5" t="s">
        <v>745</v>
      </c>
      <c r="D143" s="5" t="s">
        <v>746</v>
      </c>
      <c r="E143" s="8" t="n">
        <f aca="false">VALUE(LEFT(D143,4))</f>
        <v>2006</v>
      </c>
      <c r="F143" s="6" t="n">
        <f aca="false">IF(LEN(D143)=10,DATE(VALUE(LEFT(D143,4)),VALUE(MID(D143,6,2)),VALUE(RIGHT(D143,2))),IF(LEN(D143)=7,DATE(VALUE(LEFT(D143,4)),VALUE(MID(D143,6,2)),15),DATE(VALUE(LEFT(D143,4)),7,1)))</f>
        <v>38979</v>
      </c>
      <c r="G143" s="6" t="n">
        <f aca="false">INDEX(Acts!$D:$D,MATCH(B143,Acts!$B:$B,0))</f>
        <v>32925</v>
      </c>
      <c r="H143" s="5" t="str">
        <f aca="false">IF(F143&gt;G143,"yes","no")</f>
        <v>yes</v>
      </c>
      <c r="I143" s="5" t="s">
        <v>218</v>
      </c>
      <c r="J143" s="5" t="n">
        <v>47</v>
      </c>
      <c r="K143" s="5" t="str">
        <f aca="false">IF(J143="","no","yes")</f>
        <v>yes</v>
      </c>
      <c r="L143" s="5"/>
      <c r="M143" s="7" t="n">
        <f aca="false">IF(L143="",0,IF(L143="Gold",0.5,IF(L143="Platinum",1,IF(L143="Diamond",10,IF(ISNUMBER(FIND("×",L143)),VALUE(LEFT(L143,FIND("×",L143)-1)),0)))))</f>
        <v>0</v>
      </c>
      <c r="N143" s="5" t="s">
        <v>718</v>
      </c>
      <c r="O143" s="5" t="s">
        <v>719</v>
      </c>
    </row>
    <row r="144" customFormat="false" ht="15" hidden="false" customHeight="false" outlineLevel="0" collapsed="false">
      <c r="A144" s="5" t="s">
        <v>747</v>
      </c>
      <c r="B144" s="5" t="s">
        <v>111</v>
      </c>
      <c r="C144" s="5" t="s">
        <v>748</v>
      </c>
      <c r="D144" s="5" t="s">
        <v>749</v>
      </c>
      <c r="E144" s="8" t="n">
        <f aca="false">VALUE(LEFT(D144,4))</f>
        <v>2009</v>
      </c>
      <c r="F144" s="6" t="n">
        <f aca="false">IF(LEN(D144)=10,DATE(VALUE(LEFT(D144,4)),VALUE(MID(D144,6,2)),VALUE(RIGHT(D144,2))),IF(LEN(D144)=7,DATE(VALUE(LEFT(D144,4)),VALUE(MID(D144,6,2)),15),DATE(VALUE(LEFT(D144,4)),7,1)))</f>
        <v>39896</v>
      </c>
      <c r="G144" s="6" t="n">
        <f aca="false">INDEX(Acts!$D:$D,MATCH(B144,Acts!$B:$B,0))</f>
        <v>32925</v>
      </c>
      <c r="H144" s="5" t="str">
        <f aca="false">IF(F144&gt;G144,"yes","no")</f>
        <v>yes</v>
      </c>
      <c r="I144" s="5" t="s">
        <v>218</v>
      </c>
      <c r="J144" s="5" t="n">
        <v>29</v>
      </c>
      <c r="K144" s="5" t="str">
        <f aca="false">IF(J144="","no","yes")</f>
        <v>yes</v>
      </c>
      <c r="L144" s="5"/>
      <c r="M144" s="7" t="n">
        <f aca="false">IF(L144="",0,IF(L144="Gold",0.5,IF(L144="Platinum",1,IF(L144="Diamond",10,IF(ISNUMBER(FIND("×",L144)),VALUE(LEFT(L144,FIND("×",L144)-1)),0)))))</f>
        <v>0</v>
      </c>
      <c r="N144" s="5" t="s">
        <v>718</v>
      </c>
      <c r="O144" s="5" t="s">
        <v>719</v>
      </c>
    </row>
    <row r="145" customFormat="false" ht="15" hidden="false" customHeight="false" outlineLevel="0" collapsed="false">
      <c r="A145" s="5" t="s">
        <v>750</v>
      </c>
      <c r="B145" s="5" t="s">
        <v>111</v>
      </c>
      <c r="C145" s="5" t="s">
        <v>751</v>
      </c>
      <c r="D145" s="5" t="s">
        <v>752</v>
      </c>
      <c r="E145" s="8" t="n">
        <f aca="false">VALUE(LEFT(D145,4))</f>
        <v>2010</v>
      </c>
      <c r="F145" s="6" t="n">
        <f aca="false">IF(LEN(D145)=10,DATE(VALUE(LEFT(D145,4)),VALUE(MID(D145,6,2)),VALUE(RIGHT(D145,2))),IF(LEN(D145)=7,DATE(VALUE(LEFT(D145,4)),VALUE(MID(D145,6,2)),15),DATE(VALUE(LEFT(D145,4)),7,1)))</f>
        <v>40463</v>
      </c>
      <c r="G145" s="6" t="n">
        <f aca="false">INDEX(Acts!$D:$D,MATCH(B145,Acts!$B:$B,0))</f>
        <v>32925</v>
      </c>
      <c r="H145" s="5" t="str">
        <f aca="false">IF(F145&gt;G145,"yes","no")</f>
        <v>yes</v>
      </c>
      <c r="I145" s="5" t="s">
        <v>230</v>
      </c>
      <c r="J145" s="5"/>
      <c r="K145" s="5" t="str">
        <f aca="false">IF(J145="","no","yes")</f>
        <v>no</v>
      </c>
      <c r="L145" s="5"/>
      <c r="M145" s="7" t="n">
        <f aca="false">IF(L145="",0,IF(L145="Gold",0.5,IF(L145="Platinum",1,IF(L145="Diamond",10,IF(ISNUMBER(FIND("×",L145)),VALUE(LEFT(L145,FIND("×",L145)-1)),0)))))</f>
        <v>0</v>
      </c>
      <c r="N145" s="5" t="s">
        <v>718</v>
      </c>
      <c r="O145" s="5" t="s">
        <v>753</v>
      </c>
    </row>
    <row r="146" customFormat="false" ht="15" hidden="false" customHeight="false" outlineLevel="0" collapsed="false">
      <c r="A146" s="5" t="s">
        <v>754</v>
      </c>
      <c r="B146" s="5" t="s">
        <v>111</v>
      </c>
      <c r="C146" s="5" t="s">
        <v>755</v>
      </c>
      <c r="D146" s="5" t="s">
        <v>756</v>
      </c>
      <c r="E146" s="8" t="n">
        <f aca="false">VALUE(LEFT(D146,4))</f>
        <v>2011</v>
      </c>
      <c r="F146" s="6" t="n">
        <f aca="false">IF(LEN(D146)=10,DATE(VALUE(LEFT(D146,4)),VALUE(MID(D146,6,2)),VALUE(RIGHT(D146,2))),IF(LEN(D146)=7,DATE(VALUE(LEFT(D146,4)),VALUE(MID(D146,6,2)),15),DATE(VALUE(LEFT(D146,4)),7,1)))</f>
        <v>40820</v>
      </c>
      <c r="G146" s="6" t="n">
        <f aca="false">INDEX(Acts!$D:$D,MATCH(B146,Acts!$B:$B,0))</f>
        <v>32925</v>
      </c>
      <c r="H146" s="5" t="str">
        <f aca="false">IF(F146&gt;G146,"yes","no")</f>
        <v>yes</v>
      </c>
      <c r="I146" s="5" t="s">
        <v>218</v>
      </c>
      <c r="J146" s="5" t="n">
        <v>36</v>
      </c>
      <c r="K146" s="5" t="str">
        <f aca="false">IF(J146="","no","yes")</f>
        <v>yes</v>
      </c>
      <c r="L146" s="5"/>
      <c r="M146" s="7" t="n">
        <f aca="false">IF(L146="",0,IF(L146="Gold",0.5,IF(L146="Platinum",1,IF(L146="Diamond",10,IF(ISNUMBER(FIND("×",L146)),VALUE(LEFT(L146,FIND("×",L146)-1)),0)))))</f>
        <v>0</v>
      </c>
      <c r="N146" s="5" t="s">
        <v>718</v>
      </c>
      <c r="O146" s="5" t="s">
        <v>719</v>
      </c>
    </row>
    <row r="147" customFormat="false" ht="15" hidden="false" customHeight="false" outlineLevel="0" collapsed="false">
      <c r="A147" s="5" t="s">
        <v>757</v>
      </c>
      <c r="B147" s="5" t="s">
        <v>111</v>
      </c>
      <c r="C147" s="5" t="s">
        <v>758</v>
      </c>
      <c r="D147" s="5" t="s">
        <v>759</v>
      </c>
      <c r="E147" s="8" t="n">
        <f aca="false">VALUE(LEFT(D147,4))</f>
        <v>2015</v>
      </c>
      <c r="F147" s="6" t="n">
        <f aca="false">IF(LEN(D147)=10,DATE(VALUE(LEFT(D147,4)),VALUE(MID(D147,6,2)),VALUE(RIGHT(D147,2))),IF(LEN(D147)=7,DATE(VALUE(LEFT(D147,4)),VALUE(MID(D147,6,2)),15),DATE(VALUE(LEFT(D147,4)),7,1)))</f>
        <v>42157</v>
      </c>
      <c r="G147" s="6" t="n">
        <f aca="false">INDEX(Acts!$D:$D,MATCH(B147,Acts!$B:$B,0))</f>
        <v>32925</v>
      </c>
      <c r="H147" s="5" t="str">
        <f aca="false">IF(F147&gt;G147,"yes","no")</f>
        <v>yes</v>
      </c>
      <c r="I147" s="5" t="s">
        <v>218</v>
      </c>
      <c r="J147" s="5" t="n">
        <v>63</v>
      </c>
      <c r="K147" s="5" t="str">
        <f aca="false">IF(J147="","no","yes")</f>
        <v>yes</v>
      </c>
      <c r="L147" s="5"/>
      <c r="M147" s="7" t="n">
        <f aca="false">IF(L147="",0,IF(L147="Gold",0.5,IF(L147="Platinum",1,IF(L147="Diamond",10,IF(ISNUMBER(FIND("×",L147)),VALUE(LEFT(L147,FIND("×",L147)-1)),0)))))</f>
        <v>0</v>
      </c>
      <c r="N147" s="5" t="s">
        <v>718</v>
      </c>
      <c r="O147" s="5" t="s">
        <v>719</v>
      </c>
    </row>
    <row r="148" customFormat="false" ht="15" hidden="false" customHeight="false" outlineLevel="0" collapsed="false">
      <c r="A148" s="5" t="s">
        <v>760</v>
      </c>
      <c r="B148" s="5" t="s">
        <v>111</v>
      </c>
      <c r="C148" s="5" t="s">
        <v>761</v>
      </c>
      <c r="D148" s="5" t="s">
        <v>762</v>
      </c>
      <c r="E148" s="8" t="n">
        <f aca="false">VALUE(LEFT(D148,4))</f>
        <v>2020</v>
      </c>
      <c r="F148" s="6" t="n">
        <f aca="false">IF(LEN(D148)=10,DATE(VALUE(LEFT(D148,4)),VALUE(MID(D148,6,2)),VALUE(RIGHT(D148,2))),IF(LEN(D148)=7,DATE(VALUE(LEFT(D148,4)),VALUE(MID(D148,6,2)),15),DATE(VALUE(LEFT(D148,4)),7,1)))</f>
        <v>43973</v>
      </c>
      <c r="G148" s="6" t="n">
        <f aca="false">INDEX(Acts!$D:$D,MATCH(B148,Acts!$B:$B,0))</f>
        <v>32925</v>
      </c>
      <c r="H148" s="5" t="str">
        <f aca="false">IF(F148&gt;G148,"yes","no")</f>
        <v>yes</v>
      </c>
      <c r="I148" s="5" t="s">
        <v>218</v>
      </c>
      <c r="J148" s="5" t="n">
        <v>159</v>
      </c>
      <c r="K148" s="5" t="str">
        <f aca="false">IF(J148="","no","yes")</f>
        <v>yes</v>
      </c>
      <c r="L148" s="5"/>
      <c r="M148" s="7" t="n">
        <f aca="false">IF(L148="",0,IF(L148="Gold",0.5,IF(L148="Platinum",1,IF(L148="Diamond",10,IF(ISNUMBER(FIND("×",L148)),VALUE(LEFT(L148,FIND("×",L148)-1)),0)))))</f>
        <v>0</v>
      </c>
      <c r="N148" s="5" t="s">
        <v>718</v>
      </c>
      <c r="O148" s="5" t="s">
        <v>763</v>
      </c>
    </row>
    <row r="149" customFormat="false" ht="15" hidden="false" customHeight="false" outlineLevel="0" collapsed="false">
      <c r="A149" s="5" t="s">
        <v>764</v>
      </c>
      <c r="B149" s="5" t="s">
        <v>114</v>
      </c>
      <c r="C149" s="5" t="s">
        <v>765</v>
      </c>
      <c r="D149" s="5" t="s">
        <v>766</v>
      </c>
      <c r="E149" s="8" t="n">
        <f aca="false">VALUE(LEFT(D149,4))</f>
        <v>1967</v>
      </c>
      <c r="F149" s="6" t="n">
        <f aca="false">IF(LEN(D149)=10,DATE(VALUE(LEFT(D149,4)),VALUE(MID(D149,6,2)),VALUE(RIGHT(D149,2))),IF(LEN(D149)=7,DATE(VALUE(LEFT(D149,4)),VALUE(MID(D149,6,2)),15),DATE(VALUE(LEFT(D149,4)),7,1)))</f>
        <v>24654</v>
      </c>
      <c r="G149" s="6" t="n">
        <f aca="false">INDEX(Acts!$D:$D,MATCH(B149,Acts!$B:$B,0))</f>
        <v>29642</v>
      </c>
      <c r="H149" s="5" t="str">
        <f aca="false">IF(F149&gt;G149,"yes","no")</f>
        <v>no</v>
      </c>
      <c r="I149" s="5" t="s">
        <v>230</v>
      </c>
      <c r="J149" s="5"/>
      <c r="K149" s="5" t="str">
        <f aca="false">IF(J149="","no","yes")</f>
        <v>no</v>
      </c>
      <c r="L149" s="5"/>
      <c r="M149" s="7" t="n">
        <f aca="false">IF(L149="",0,IF(L149="Gold",0.5,IF(L149="Platinum",1,IF(L149="Diamond",10,IF(ISNUMBER(FIND("×",L149)),VALUE(LEFT(L149,FIND("×",L149)-1)),0)))))</f>
        <v>0</v>
      </c>
      <c r="N149" s="5" t="s">
        <v>767</v>
      </c>
      <c r="O149" s="5" t="s">
        <v>768</v>
      </c>
    </row>
    <row r="150" customFormat="false" ht="15" hidden="false" customHeight="false" outlineLevel="0" collapsed="false">
      <c r="A150" s="5" t="s">
        <v>769</v>
      </c>
      <c r="B150" s="5" t="s">
        <v>114</v>
      </c>
      <c r="C150" s="5" t="s">
        <v>770</v>
      </c>
      <c r="D150" s="5" t="s">
        <v>771</v>
      </c>
      <c r="E150" s="8" t="n">
        <f aca="false">VALUE(LEFT(D150,4))</f>
        <v>1982</v>
      </c>
      <c r="F150" s="6" t="n">
        <f aca="false">IF(LEN(D150)=10,DATE(VALUE(LEFT(D150,4)),VALUE(MID(D150,6,2)),VALUE(RIGHT(D150,2))),IF(LEN(D150)=7,DATE(VALUE(LEFT(D150,4)),VALUE(MID(D150,6,2)),15),DATE(VALUE(LEFT(D150,4)),7,1)))</f>
        <v>29966</v>
      </c>
      <c r="G150" s="6" t="n">
        <f aca="false">INDEX(Acts!$D:$D,MATCH(B150,Acts!$B:$B,0))</f>
        <v>29642</v>
      </c>
      <c r="H150" s="5" t="str">
        <f aca="false">IF(F150&gt;G150,"yes","no")</f>
        <v>yes</v>
      </c>
      <c r="I150" s="5" t="s">
        <v>218</v>
      </c>
      <c r="J150" s="5" t="n">
        <v>76</v>
      </c>
      <c r="K150" s="5" t="str">
        <f aca="false">IF(J150="","no","yes")</f>
        <v>yes</v>
      </c>
      <c r="L150" s="5"/>
      <c r="M150" s="7" t="n">
        <f aca="false">IF(L150="",0,IF(L150="Gold",0.5,IF(L150="Platinum",1,IF(L150="Diamond",10,IF(ISNUMBER(FIND("×",L150)),VALUE(LEFT(L150,FIND("×",L150)-1)),0)))))</f>
        <v>0</v>
      </c>
      <c r="N150" s="5" t="s">
        <v>767</v>
      </c>
      <c r="O150" s="5"/>
    </row>
    <row r="151" customFormat="false" ht="15" hidden="false" customHeight="false" outlineLevel="0" collapsed="false">
      <c r="A151" s="5" t="s">
        <v>772</v>
      </c>
      <c r="B151" s="5" t="s">
        <v>114</v>
      </c>
      <c r="C151" s="5" t="s">
        <v>773</v>
      </c>
      <c r="D151" s="5" t="s">
        <v>774</v>
      </c>
      <c r="E151" s="8" t="n">
        <f aca="false">VALUE(LEFT(D151,4))</f>
        <v>1983</v>
      </c>
      <c r="F151" s="6" t="n">
        <f aca="false">IF(LEN(D151)=10,DATE(VALUE(LEFT(D151,4)),VALUE(MID(D151,6,2)),VALUE(RIGHT(D151,2))),IF(LEN(D151)=7,DATE(VALUE(LEFT(D151,4)),VALUE(MID(D151,6,2)),15),DATE(VALUE(LEFT(D151,4)),7,1)))</f>
        <v>30622</v>
      </c>
      <c r="G151" s="6" t="n">
        <f aca="false">INDEX(Acts!$D:$D,MATCH(B151,Acts!$B:$B,0))</f>
        <v>29642</v>
      </c>
      <c r="H151" s="5" t="str">
        <f aca="false">IF(F151&gt;G151,"yes","no")</f>
        <v>yes</v>
      </c>
      <c r="I151" s="5" t="s">
        <v>218</v>
      </c>
      <c r="J151" s="5" t="n">
        <v>77</v>
      </c>
      <c r="K151" s="5" t="str">
        <f aca="false">IF(J151="","no","yes")</f>
        <v>yes</v>
      </c>
      <c r="L151" s="5"/>
      <c r="M151" s="7" t="n">
        <f aca="false">IF(L151="",0,IF(L151="Gold",0.5,IF(L151="Platinum",1,IF(L151="Diamond",10,IF(ISNUMBER(FIND("×",L151)),VALUE(LEFT(L151,FIND("×",L151)-1)),0)))))</f>
        <v>0</v>
      </c>
      <c r="N151" s="5" t="s">
        <v>767</v>
      </c>
      <c r="O151" s="5" t="s">
        <v>775</v>
      </c>
    </row>
    <row r="152" customFormat="false" ht="15" hidden="false" customHeight="false" outlineLevel="0" collapsed="false">
      <c r="A152" s="5" t="s">
        <v>776</v>
      </c>
      <c r="B152" s="5" t="s">
        <v>114</v>
      </c>
      <c r="C152" s="5" t="s">
        <v>777</v>
      </c>
      <c r="D152" s="5" t="s">
        <v>380</v>
      </c>
      <c r="E152" s="8" t="n">
        <f aca="false">VALUE(LEFT(D152,4))</f>
        <v>1987</v>
      </c>
      <c r="F152" s="6" t="n">
        <f aca="false">IF(LEN(D152)=10,DATE(VALUE(LEFT(D152,4)),VALUE(MID(D152,6,2)),VALUE(RIGHT(D152,2))),IF(LEN(D152)=7,DATE(VALUE(LEFT(D152,4)),VALUE(MID(D152,6,2)),15),DATE(VALUE(LEFT(D152,4)),7,1)))</f>
        <v>31959</v>
      </c>
      <c r="G152" s="6" t="n">
        <f aca="false">INDEX(Acts!$D:$D,MATCH(B152,Acts!$B:$B,0))</f>
        <v>29642</v>
      </c>
      <c r="H152" s="5" t="str">
        <f aca="false">IF(F152&gt;G152,"yes","no")</f>
        <v>yes</v>
      </c>
      <c r="I152" s="5" t="s">
        <v>230</v>
      </c>
      <c r="J152" s="5"/>
      <c r="K152" s="5" t="str">
        <f aca="false">IF(J152="","no","yes")</f>
        <v>no</v>
      </c>
      <c r="L152" s="5"/>
      <c r="M152" s="7" t="n">
        <f aca="false">IF(L152="",0,IF(L152="Gold",0.5,IF(L152="Platinum",1,IF(L152="Diamond",10,IF(ISNUMBER(FIND("×",L152)),VALUE(LEFT(L152,FIND("×",L152)-1)),0)))))</f>
        <v>0</v>
      </c>
      <c r="N152" s="5" t="s">
        <v>778</v>
      </c>
      <c r="O152" s="5" t="s">
        <v>779</v>
      </c>
    </row>
    <row r="153" customFormat="false" ht="15" hidden="false" customHeight="false" outlineLevel="0" collapsed="false">
      <c r="A153" s="5" t="s">
        <v>780</v>
      </c>
      <c r="B153" s="5" t="s">
        <v>114</v>
      </c>
      <c r="C153" s="5" t="s">
        <v>781</v>
      </c>
      <c r="D153" s="5" t="s">
        <v>782</v>
      </c>
      <c r="E153" s="8" t="n">
        <f aca="false">VALUE(LEFT(D153,4))</f>
        <v>2011</v>
      </c>
      <c r="F153" s="6" t="n">
        <f aca="false">IF(LEN(D153)=10,DATE(VALUE(LEFT(D153,4)),VALUE(MID(D153,6,2)),VALUE(RIGHT(D153,2))),IF(LEN(D153)=7,DATE(VALUE(LEFT(D153,4)),VALUE(MID(D153,6,2)),15),DATE(VALUE(LEFT(D153,4)),7,1)))</f>
        <v>40637</v>
      </c>
      <c r="G153" s="6" t="n">
        <f aca="false">INDEX(Acts!$D:$D,MATCH(B153,Acts!$B:$B,0))</f>
        <v>29642</v>
      </c>
      <c r="H153" s="5" t="str">
        <f aca="false">IF(F153&gt;G153,"yes","no")</f>
        <v>yes</v>
      </c>
      <c r="I153" s="5" t="s">
        <v>230</v>
      </c>
      <c r="J153" s="5"/>
      <c r="K153" s="5" t="str">
        <f aca="false">IF(J153="","no","yes")</f>
        <v>no</v>
      </c>
      <c r="L153" s="5"/>
      <c r="M153" s="7" t="n">
        <f aca="false">IF(L153="",0,IF(L153="Gold",0.5,IF(L153="Platinum",1,IF(L153="Diamond",10,IF(ISNUMBER(FIND("×",L153)),VALUE(LEFT(L153,FIND("×",L153)-1)),0)))))</f>
        <v>0</v>
      </c>
      <c r="N153" s="5" t="s">
        <v>767</v>
      </c>
      <c r="O153" s="5" t="s">
        <v>783</v>
      </c>
    </row>
    <row r="154" customFormat="false" ht="15" hidden="false" customHeight="false" outlineLevel="0" collapsed="false">
      <c r="A154" s="5" t="s">
        <v>784</v>
      </c>
      <c r="B154" s="5" t="s">
        <v>117</v>
      </c>
      <c r="C154" s="5" t="s">
        <v>785</v>
      </c>
      <c r="D154" s="5" t="s">
        <v>786</v>
      </c>
      <c r="E154" s="8" t="n">
        <f aca="false">VALUE(LEFT(D154,4))</f>
        <v>1983</v>
      </c>
      <c r="F154" s="6" t="n">
        <f aca="false">IF(LEN(D154)=10,DATE(VALUE(LEFT(D154,4)),VALUE(MID(D154,6,2)),VALUE(RIGHT(D154,2))),IF(LEN(D154)=7,DATE(VALUE(LEFT(D154,4)),VALUE(MID(D154,6,2)),15),DATE(VALUE(LEFT(D154,4)),7,1)))</f>
        <v>30613</v>
      </c>
      <c r="G154" s="6" t="n">
        <f aca="false">INDEX(Acts!$D:$D,MATCH(B154,Acts!$B:$B,0))</f>
        <v>30006</v>
      </c>
      <c r="H154" s="5" t="str">
        <f aca="false">IF(F154&gt;G154,"yes","no")</f>
        <v>yes</v>
      </c>
      <c r="I154" s="5" t="s">
        <v>218</v>
      </c>
      <c r="J154" s="5" t="n">
        <v>46</v>
      </c>
      <c r="K154" s="5" t="str">
        <f aca="false">IF(J154="","no","yes")</f>
        <v>yes</v>
      </c>
      <c r="L154" s="5" t="s">
        <v>271</v>
      </c>
      <c r="M154" s="7" t="n">
        <f aca="false">IF(L154="",0,IF(L154="Gold",0.5,IF(L154="Platinum",1,IF(L154="Diamond",10,IF(ISNUMBER(FIND("×",L154)),VALUE(LEFT(L154,FIND("×",L154)-1)),0)))))</f>
        <v>0.5</v>
      </c>
      <c r="N154" s="5" t="s">
        <v>787</v>
      </c>
      <c r="O154" s="5"/>
    </row>
    <row r="155" customFormat="false" ht="15" hidden="false" customHeight="false" outlineLevel="0" collapsed="false">
      <c r="A155" s="5" t="s">
        <v>788</v>
      </c>
      <c r="B155" s="5" t="s">
        <v>117</v>
      </c>
      <c r="C155" s="5" t="s">
        <v>789</v>
      </c>
      <c r="D155" s="5" t="s">
        <v>790</v>
      </c>
      <c r="E155" s="8" t="n">
        <f aca="false">VALUE(LEFT(D155,4))</f>
        <v>1986</v>
      </c>
      <c r="F155" s="6" t="n">
        <f aca="false">IF(LEN(D155)=10,DATE(VALUE(LEFT(D155,4)),VALUE(MID(D155,6,2)),VALUE(RIGHT(D155,2))),IF(LEN(D155)=7,DATE(VALUE(LEFT(D155,4)),VALUE(MID(D155,6,2)),15),DATE(VALUE(LEFT(D155,4)),7,1)))</f>
        <v>31608</v>
      </c>
      <c r="G155" s="6" t="n">
        <f aca="false">INDEX(Acts!$D:$D,MATCH(B155,Acts!$B:$B,0))</f>
        <v>30006</v>
      </c>
      <c r="H155" s="5" t="str">
        <f aca="false">IF(F155&gt;G155,"yes","no")</f>
        <v>yes</v>
      </c>
      <c r="I155" s="5" t="s">
        <v>218</v>
      </c>
      <c r="J155" s="5" t="n">
        <v>123</v>
      </c>
      <c r="K155" s="5" t="str">
        <f aca="false">IF(J155="","no","yes")</f>
        <v>yes</v>
      </c>
      <c r="L155" s="5"/>
      <c r="M155" s="7" t="n">
        <f aca="false">IF(L155="",0,IF(L155="Gold",0.5,IF(L155="Platinum",1,IF(L155="Diamond",10,IF(ISNUMBER(FIND("×",L155)),VALUE(LEFT(L155,FIND("×",L155)-1)),0)))))</f>
        <v>0</v>
      </c>
      <c r="N155" s="5" t="s">
        <v>787</v>
      </c>
      <c r="O155" s="5"/>
    </row>
    <row r="156" customFormat="false" ht="15" hidden="false" customHeight="false" outlineLevel="0" collapsed="false">
      <c r="A156" s="5" t="s">
        <v>791</v>
      </c>
      <c r="B156" s="5" t="s">
        <v>117</v>
      </c>
      <c r="C156" s="5" t="s">
        <v>792</v>
      </c>
      <c r="D156" s="5" t="s">
        <v>793</v>
      </c>
      <c r="E156" s="8" t="n">
        <f aca="false">VALUE(LEFT(D156,4))</f>
        <v>1989</v>
      </c>
      <c r="F156" s="6" t="n">
        <f aca="false">IF(LEN(D156)=10,DATE(VALUE(LEFT(D156,4)),VALUE(MID(D156,6,2)),VALUE(RIGHT(D156,2))),IF(LEN(D156)=7,DATE(VALUE(LEFT(D156,4)),VALUE(MID(D156,6,2)),15),DATE(VALUE(LEFT(D156,4)),7,1)))</f>
        <v>32651</v>
      </c>
      <c r="G156" s="6" t="n">
        <f aca="false">INDEX(Acts!$D:$D,MATCH(B156,Acts!$B:$B,0))</f>
        <v>30006</v>
      </c>
      <c r="H156" s="5" t="str">
        <f aca="false">IF(F156&gt;G156,"yes","no")</f>
        <v>yes</v>
      </c>
      <c r="I156" s="5" t="s">
        <v>218</v>
      </c>
      <c r="J156" s="5" t="n">
        <v>117</v>
      </c>
      <c r="K156" s="5" t="str">
        <f aca="false">IF(J156="","no","yes")</f>
        <v>yes</v>
      </c>
      <c r="L156" s="5"/>
      <c r="M156" s="7" t="n">
        <f aca="false">IF(L156="",0,IF(L156="Gold",0.5,IF(L156="Platinum",1,IF(L156="Diamond",10,IF(ISNUMBER(FIND("×",L156)),VALUE(LEFT(L156,FIND("×",L156)-1)),0)))))</f>
        <v>0</v>
      </c>
      <c r="N156" s="5" t="s">
        <v>787</v>
      </c>
      <c r="O156" s="5"/>
    </row>
    <row r="157" customFormat="false" ht="15" hidden="false" customHeight="false" outlineLevel="0" collapsed="false">
      <c r="A157" s="5" t="s">
        <v>794</v>
      </c>
      <c r="B157" s="5" t="s">
        <v>117</v>
      </c>
      <c r="C157" s="5" t="s">
        <v>795</v>
      </c>
      <c r="D157" s="5" t="s">
        <v>796</v>
      </c>
      <c r="E157" s="8" t="n">
        <f aca="false">VALUE(LEFT(D157,4))</f>
        <v>1993</v>
      </c>
      <c r="F157" s="6" t="n">
        <f aca="false">IF(LEN(D157)=10,DATE(VALUE(LEFT(D157,4)),VALUE(MID(D157,6,2)),VALUE(RIGHT(D157,2))),IF(LEN(D157)=7,DATE(VALUE(LEFT(D157,4)),VALUE(MID(D157,6,2)),15),DATE(VALUE(LEFT(D157,4)),7,1)))</f>
        <v>34114</v>
      </c>
      <c r="G157" s="6" t="n">
        <f aca="false">INDEX(Acts!$D:$D,MATCH(B157,Acts!$B:$B,0))</f>
        <v>30006</v>
      </c>
      <c r="H157" s="5" t="str">
        <f aca="false">IF(F157&gt;G157,"yes","no")</f>
        <v>yes</v>
      </c>
      <c r="I157" s="5" t="s">
        <v>218</v>
      </c>
      <c r="J157" s="5"/>
      <c r="K157" s="5" t="str">
        <f aca="false">IF(J157="","no","yes")</f>
        <v>no</v>
      </c>
      <c r="L157" s="5"/>
      <c r="M157" s="7" t="n">
        <f aca="false">IF(L157="",0,IF(L157="Gold",0.5,IF(L157="Platinum",1,IF(L157="Diamond",10,IF(ISNUMBER(FIND("×",L157)),VALUE(LEFT(L157,FIND("×",L157)-1)),0)))))</f>
        <v>0</v>
      </c>
      <c r="N157" s="5" t="s">
        <v>787</v>
      </c>
      <c r="O157" s="5" t="s">
        <v>797</v>
      </c>
    </row>
    <row r="158" customFormat="false" ht="15" hidden="false" customHeight="false" outlineLevel="0" collapsed="false">
      <c r="A158" s="5" t="s">
        <v>798</v>
      </c>
      <c r="B158" s="5" t="s">
        <v>117</v>
      </c>
      <c r="C158" s="5" t="s">
        <v>799</v>
      </c>
      <c r="D158" s="5" t="s">
        <v>800</v>
      </c>
      <c r="E158" s="8" t="n">
        <f aca="false">VALUE(LEFT(D158,4))</f>
        <v>2008</v>
      </c>
      <c r="F158" s="6" t="n">
        <f aca="false">IF(LEN(D158)=10,DATE(VALUE(LEFT(D158,4)),VALUE(MID(D158,6,2)),VALUE(RIGHT(D158,2))),IF(LEN(D158)=7,DATE(VALUE(LEFT(D158,4)),VALUE(MID(D158,6,2)),15),DATE(VALUE(LEFT(D158,4)),7,1)))</f>
        <v>39735</v>
      </c>
      <c r="G158" s="6" t="n">
        <f aca="false">INDEX(Acts!$D:$D,MATCH(B158,Acts!$B:$B,0))</f>
        <v>30006</v>
      </c>
      <c r="H158" s="5" t="str">
        <f aca="false">IF(F158&gt;G158,"yes","no")</f>
        <v>yes</v>
      </c>
      <c r="I158" s="5" t="s">
        <v>218</v>
      </c>
      <c r="J158" s="5"/>
      <c r="K158" s="5" t="str">
        <f aca="false">IF(J158="","no","yes")</f>
        <v>no</v>
      </c>
      <c r="L158" s="5"/>
      <c r="M158" s="7" t="n">
        <f aca="false">IF(L158="",0,IF(L158="Gold",0.5,IF(L158="Platinum",1,IF(L158="Diamond",10,IF(ISNUMBER(FIND("×",L158)),VALUE(LEFT(L158,FIND("×",L158)-1)),0)))))</f>
        <v>0</v>
      </c>
      <c r="N158" s="5" t="s">
        <v>787</v>
      </c>
      <c r="O158" s="5" t="s">
        <v>801</v>
      </c>
    </row>
    <row r="159" customFormat="false" ht="15" hidden="false" customHeight="false" outlineLevel="0" collapsed="false">
      <c r="A159" s="5" t="s">
        <v>802</v>
      </c>
      <c r="B159" s="5" t="s">
        <v>120</v>
      </c>
      <c r="C159" s="5" t="s">
        <v>803</v>
      </c>
      <c r="D159" s="5" t="s">
        <v>503</v>
      </c>
      <c r="E159" s="8" t="n">
        <f aca="false">VALUE(LEFT(D159,4))</f>
        <v>1983</v>
      </c>
      <c r="F159" s="6" t="n">
        <f aca="false">IF(LEN(D159)=10,DATE(VALUE(LEFT(D159,4)),VALUE(MID(D159,6,2)),VALUE(RIGHT(D159,2))),IF(LEN(D159)=7,DATE(VALUE(LEFT(D159,4)),VALUE(MID(D159,6,2)),15),DATE(VALUE(LEFT(D159,4)),7,1)))</f>
        <v>30604</v>
      </c>
      <c r="G159" s="6" t="n">
        <f aca="false">INDEX(Acts!$D:$D,MATCH(B159,Acts!$B:$B,0))</f>
        <v>30370</v>
      </c>
      <c r="H159" s="5" t="str">
        <f aca="false">IF(F159&gt;G159,"yes","no")</f>
        <v>yes</v>
      </c>
      <c r="I159" s="5" t="s">
        <v>218</v>
      </c>
      <c r="J159" s="5" t="n">
        <v>31</v>
      </c>
      <c r="K159" s="5" t="str">
        <f aca="false">IF(J159="","no","yes")</f>
        <v>yes</v>
      </c>
      <c r="L159" s="5"/>
      <c r="M159" s="7" t="n">
        <f aca="false">IF(L159="",0,IF(L159="Gold",0.5,IF(L159="Platinum",1,IF(L159="Diamond",10,IF(ISNUMBER(FIND("×",L159)),VALUE(LEFT(L159,FIND("×",L159)-1)),0)))))</f>
        <v>0</v>
      </c>
      <c r="N159" s="5" t="s">
        <v>804</v>
      </c>
      <c r="O159" s="5" t="s">
        <v>805</v>
      </c>
    </row>
    <row r="160" customFormat="false" ht="15" hidden="false" customHeight="false" outlineLevel="0" collapsed="false">
      <c r="A160" s="5" t="s">
        <v>806</v>
      </c>
      <c r="B160" s="5" t="s">
        <v>120</v>
      </c>
      <c r="C160" s="5" t="s">
        <v>807</v>
      </c>
      <c r="D160" s="5" t="s">
        <v>808</v>
      </c>
      <c r="E160" s="8" t="n">
        <f aca="false">VALUE(LEFT(D160,4))</f>
        <v>1985</v>
      </c>
      <c r="F160" s="6" t="n">
        <f aca="false">IF(LEN(D160)=10,DATE(VALUE(LEFT(D160,4)),VALUE(MID(D160,6,2)),VALUE(RIGHT(D160,2))),IF(LEN(D160)=7,DATE(VALUE(LEFT(D160,4)),VALUE(MID(D160,6,2)),15),DATE(VALUE(LEFT(D160,4)),7,1)))</f>
        <v>31278</v>
      </c>
      <c r="G160" s="6" t="n">
        <f aca="false">INDEX(Acts!$D:$D,MATCH(B160,Acts!$B:$B,0))</f>
        <v>30370</v>
      </c>
      <c r="H160" s="5" t="str">
        <f aca="false">IF(F160&gt;G160,"yes","no")</f>
        <v>yes</v>
      </c>
      <c r="I160" s="5" t="s">
        <v>218</v>
      </c>
      <c r="J160" s="5" t="n">
        <v>110</v>
      </c>
      <c r="K160" s="5" t="str">
        <f aca="false">IF(J160="","no","yes")</f>
        <v>yes</v>
      </c>
      <c r="L160" s="5"/>
      <c r="M160" s="7" t="n">
        <f aca="false">IF(L160="",0,IF(L160="Gold",0.5,IF(L160="Platinum",1,IF(L160="Diamond",10,IF(ISNUMBER(FIND("×",L160)),VALUE(LEFT(L160,FIND("×",L160)-1)),0)))))</f>
        <v>0</v>
      </c>
      <c r="N160" s="5" t="s">
        <v>809</v>
      </c>
      <c r="O160" s="5" t="s">
        <v>810</v>
      </c>
    </row>
    <row r="161" customFormat="false" ht="15" hidden="false" customHeight="false" outlineLevel="0" collapsed="false">
      <c r="A161" s="5" t="s">
        <v>811</v>
      </c>
      <c r="B161" s="5" t="s">
        <v>120</v>
      </c>
      <c r="C161" s="5" t="s">
        <v>812</v>
      </c>
      <c r="D161" s="5" t="s">
        <v>813</v>
      </c>
      <c r="E161" s="8" t="n">
        <f aca="false">VALUE(LEFT(D161,4))</f>
        <v>1987</v>
      </c>
      <c r="F161" s="6" t="n">
        <f aca="false">IF(LEN(D161)=10,DATE(VALUE(LEFT(D161,4)),VALUE(MID(D161,6,2)),VALUE(RIGHT(D161,2))),IF(LEN(D161)=7,DATE(VALUE(LEFT(D161,4)),VALUE(MID(D161,6,2)),15),DATE(VALUE(LEFT(D161,4)),7,1)))</f>
        <v>32007</v>
      </c>
      <c r="G161" s="6" t="n">
        <f aca="false">INDEX(Acts!$D:$D,MATCH(B161,Acts!$B:$B,0))</f>
        <v>30370</v>
      </c>
      <c r="H161" s="5" t="str">
        <f aca="false">IF(F161&gt;G161,"yes","no")</f>
        <v>yes</v>
      </c>
      <c r="I161" s="5" t="s">
        <v>230</v>
      </c>
      <c r="J161" s="5"/>
      <c r="K161" s="5" t="str">
        <f aca="false">IF(J161="","no","yes")</f>
        <v>no</v>
      </c>
      <c r="L161" s="5"/>
      <c r="M161" s="7" t="n">
        <f aca="false">IF(L161="",0,IF(L161="Gold",0.5,IF(L161="Platinum",1,IF(L161="Diamond",10,IF(ISNUMBER(FIND("×",L161)),VALUE(LEFT(L161,FIND("×",L161)-1)),0)))))</f>
        <v>0</v>
      </c>
      <c r="N161" s="5" t="s">
        <v>814</v>
      </c>
      <c r="O161" s="5" t="s">
        <v>815</v>
      </c>
    </row>
    <row r="162" customFormat="false" ht="15" hidden="false" customHeight="false" outlineLevel="0" collapsed="false">
      <c r="A162" s="5" t="s">
        <v>816</v>
      </c>
      <c r="B162" s="5" t="s">
        <v>120</v>
      </c>
      <c r="C162" s="5" t="s">
        <v>817</v>
      </c>
      <c r="D162" s="5" t="s">
        <v>818</v>
      </c>
      <c r="E162" s="8" t="n">
        <f aca="false">VALUE(LEFT(D162,4))</f>
        <v>1991</v>
      </c>
      <c r="F162" s="6" t="n">
        <f aca="false">IF(LEN(D162)=10,DATE(VALUE(LEFT(D162,4)),VALUE(MID(D162,6,2)),VALUE(RIGHT(D162,2))),IF(LEN(D162)=7,DATE(VALUE(LEFT(D162,4)),VALUE(MID(D162,6,2)),15),DATE(VALUE(LEFT(D162,4)),7,1)))</f>
        <v>33442</v>
      </c>
      <c r="G162" s="6" t="n">
        <f aca="false">INDEX(Acts!$D:$D,MATCH(B162,Acts!$B:$B,0))</f>
        <v>30370</v>
      </c>
      <c r="H162" s="5" t="str">
        <f aca="false">IF(F162&gt;G162,"yes","no")</f>
        <v>yes</v>
      </c>
      <c r="I162" s="5" t="s">
        <v>218</v>
      </c>
      <c r="J162" s="5" t="n">
        <v>184</v>
      </c>
      <c r="K162" s="5" t="str">
        <f aca="false">IF(J162="","no","yes")</f>
        <v>yes</v>
      </c>
      <c r="L162" s="5"/>
      <c r="M162" s="7" t="n">
        <f aca="false">IF(L162="",0,IF(L162="Gold",0.5,IF(L162="Platinum",1,IF(L162="Diamond",10,IF(ISNUMBER(FIND("×",L162)),VALUE(LEFT(L162,FIND("×",L162)-1)),0)))))</f>
        <v>0</v>
      </c>
      <c r="N162" s="5" t="s">
        <v>819</v>
      </c>
      <c r="O162" s="5" t="s">
        <v>820</v>
      </c>
    </row>
    <row r="163" customFormat="false" ht="15" hidden="false" customHeight="false" outlineLevel="0" collapsed="false">
      <c r="A163" s="5" t="s">
        <v>821</v>
      </c>
      <c r="B163" s="5" t="s">
        <v>120</v>
      </c>
      <c r="C163" s="5" t="s">
        <v>822</v>
      </c>
      <c r="D163" s="5" t="s">
        <v>823</v>
      </c>
      <c r="E163" s="8" t="n">
        <f aca="false">VALUE(LEFT(D163,4))</f>
        <v>1994</v>
      </c>
      <c r="F163" s="6" t="n">
        <f aca="false">IF(LEN(D163)=10,DATE(VALUE(LEFT(D163,4)),VALUE(MID(D163,6,2)),VALUE(RIGHT(D163,2))),IF(LEN(D163)=7,DATE(VALUE(LEFT(D163,4)),VALUE(MID(D163,6,2)),15),DATE(VALUE(LEFT(D163,4)),7,1)))</f>
        <v>34646</v>
      </c>
      <c r="G163" s="6" t="n">
        <f aca="false">INDEX(Acts!$D:$D,MATCH(B163,Acts!$B:$B,0))</f>
        <v>30370</v>
      </c>
      <c r="H163" s="5" t="str">
        <f aca="false">IF(F163&gt;G163,"yes","no")</f>
        <v>yes</v>
      </c>
      <c r="I163" s="5" t="s">
        <v>218</v>
      </c>
      <c r="J163" s="5"/>
      <c r="K163" s="5" t="str">
        <f aca="false">IF(J163="","no","yes")</f>
        <v>no</v>
      </c>
      <c r="L163" s="5"/>
      <c r="M163" s="7" t="n">
        <f aca="false">IF(L163="",0,IF(L163="Gold",0.5,IF(L163="Platinum",1,IF(L163="Diamond",10,IF(ISNUMBER(FIND("×",L163)),VALUE(LEFT(L163,FIND("×",L163)-1)),0)))))</f>
        <v>0</v>
      </c>
      <c r="N163" s="5" t="s">
        <v>824</v>
      </c>
      <c r="O163" s="5" t="s">
        <v>825</v>
      </c>
    </row>
    <row r="164" customFormat="false" ht="15" hidden="false" customHeight="false" outlineLevel="0" collapsed="false">
      <c r="A164" s="5" t="s">
        <v>826</v>
      </c>
      <c r="B164" s="5" t="s">
        <v>120</v>
      </c>
      <c r="C164" s="5" t="s">
        <v>827</v>
      </c>
      <c r="D164" s="5" t="s">
        <v>828</v>
      </c>
      <c r="E164" s="8" t="n">
        <f aca="false">VALUE(LEFT(D164,4))</f>
        <v>2014</v>
      </c>
      <c r="F164" s="6" t="n">
        <f aca="false">IF(LEN(D164)=10,DATE(VALUE(LEFT(D164,4)),VALUE(MID(D164,6,2)),VALUE(RIGHT(D164,2))),IF(LEN(D164)=7,DATE(VALUE(LEFT(D164,4)),VALUE(MID(D164,6,2)),15),DATE(VALUE(LEFT(D164,4)),7,1)))</f>
        <v>41660</v>
      </c>
      <c r="G164" s="6" t="n">
        <f aca="false">INDEX(Acts!$D:$D,MATCH(B164,Acts!$B:$B,0))</f>
        <v>30370</v>
      </c>
      <c r="H164" s="5" t="str">
        <f aca="false">IF(F164&gt;G164,"yes","no")</f>
        <v>yes</v>
      </c>
      <c r="I164" s="5" t="s">
        <v>218</v>
      </c>
      <c r="J164" s="5"/>
      <c r="K164" s="5" t="str">
        <f aca="false">IF(J164="","no","yes")</f>
        <v>no</v>
      </c>
      <c r="L164" s="5"/>
      <c r="M164" s="7" t="n">
        <f aca="false">IF(L164="",0,IF(L164="Gold",0.5,IF(L164="Platinum",1,IF(L164="Diamond",10,IF(ISNUMBER(FIND("×",L164)),VALUE(LEFT(L164,FIND("×",L164)-1)),0)))))</f>
        <v>0</v>
      </c>
      <c r="N164" s="5" t="s">
        <v>829</v>
      </c>
      <c r="O164" s="5" t="s">
        <v>830</v>
      </c>
    </row>
    <row r="165" customFormat="false" ht="15" hidden="false" customHeight="false" outlineLevel="0" collapsed="false">
      <c r="A165" s="5" t="s">
        <v>831</v>
      </c>
      <c r="B165" s="5" t="s">
        <v>123</v>
      </c>
      <c r="C165" s="5" t="s">
        <v>123</v>
      </c>
      <c r="D165" s="5" t="s">
        <v>832</v>
      </c>
      <c r="E165" s="8" t="n">
        <f aca="false">VALUE(LEFT(D165,4))</f>
        <v>1987</v>
      </c>
      <c r="F165" s="6" t="n">
        <f aca="false">IF(LEN(D165)=10,DATE(VALUE(LEFT(D165,4)),VALUE(MID(D165,6,2)),VALUE(RIGHT(D165,2))),IF(LEN(D165)=7,DATE(VALUE(LEFT(D165,4)),VALUE(MID(D165,6,2)),15),DATE(VALUE(LEFT(D165,4)),7,1)))</f>
        <v>31831</v>
      </c>
      <c r="G165" s="6" t="n">
        <f aca="false">INDEX(Acts!$D:$D,MATCH(B165,Acts!$B:$B,0))</f>
        <v>32204</v>
      </c>
      <c r="H165" s="5" t="str">
        <f aca="false">IF(F165&gt;G165,"yes","no")</f>
        <v>no</v>
      </c>
      <c r="I165" s="5" t="s">
        <v>218</v>
      </c>
      <c r="J165" s="5" t="n">
        <v>10</v>
      </c>
      <c r="K165" s="5" t="str">
        <f aca="false">IF(J165="","no","yes")</f>
        <v>yes</v>
      </c>
      <c r="L165" s="5" t="s">
        <v>219</v>
      </c>
      <c r="M165" s="7" t="n">
        <f aca="false">IF(L165="",0,IF(L165="Gold",0.5,IF(L165="Platinum",1,IF(L165="Diamond",10,IF(ISNUMBER(FIND("×",L165)),VALUE(LEFT(L165,FIND("×",L165)-1)),0)))))</f>
        <v>1</v>
      </c>
      <c r="N165" s="5" t="s">
        <v>833</v>
      </c>
      <c r="O165" s="5"/>
    </row>
    <row r="166" customFormat="false" ht="15" hidden="false" customHeight="false" outlineLevel="0" collapsed="false">
      <c r="A166" s="5" t="s">
        <v>834</v>
      </c>
      <c r="B166" s="5" t="s">
        <v>123</v>
      </c>
      <c r="C166" s="5" t="s">
        <v>835</v>
      </c>
      <c r="D166" s="5" t="s">
        <v>836</v>
      </c>
      <c r="E166" s="8" t="n">
        <f aca="false">VALUE(LEFT(D166,4))</f>
        <v>1989</v>
      </c>
      <c r="F166" s="6" t="n">
        <f aca="false">IF(LEN(D166)=10,DATE(VALUE(LEFT(D166,4)),VALUE(MID(D166,6,2)),VALUE(RIGHT(D166,2))),IF(LEN(D166)=7,DATE(VALUE(LEFT(D166,4)),VALUE(MID(D166,6,2)),15),DATE(VALUE(LEFT(D166,4)),7,1)))</f>
        <v>32594</v>
      </c>
      <c r="G166" s="6" t="n">
        <f aca="false">INDEX(Acts!$D:$D,MATCH(B166,Acts!$B:$B,0))</f>
        <v>32204</v>
      </c>
      <c r="H166" s="5" t="str">
        <f aca="false">IF(F166&gt;G166,"yes","no")</f>
        <v>yes</v>
      </c>
      <c r="I166" s="5" t="s">
        <v>218</v>
      </c>
      <c r="J166" s="5" t="n">
        <v>16</v>
      </c>
      <c r="K166" s="5" t="str">
        <f aca="false">IF(J166="","no","yes")</f>
        <v>yes</v>
      </c>
      <c r="L166" s="5" t="s">
        <v>271</v>
      </c>
      <c r="M166" s="7" t="n">
        <f aca="false">IF(L166="",0,IF(L166="Gold",0.5,IF(L166="Platinum",1,IF(L166="Diamond",10,IF(ISNUMBER(FIND("×",L166)),VALUE(LEFT(L166,FIND("×",L166)-1)),0)))))</f>
        <v>0.5</v>
      </c>
      <c r="N166" s="5" t="s">
        <v>833</v>
      </c>
      <c r="O166" s="5"/>
    </row>
    <row r="167" customFormat="false" ht="15" hidden="false" customHeight="false" outlineLevel="0" collapsed="false">
      <c r="A167" s="5" t="s">
        <v>837</v>
      </c>
      <c r="B167" s="5" t="s">
        <v>123</v>
      </c>
      <c r="C167" s="5" t="s">
        <v>838</v>
      </c>
      <c r="D167" s="5" t="s">
        <v>839</v>
      </c>
      <c r="E167" s="8" t="n">
        <f aca="false">VALUE(LEFT(D167,4))</f>
        <v>1991</v>
      </c>
      <c r="F167" s="6" t="n">
        <f aca="false">IF(LEN(D167)=10,DATE(VALUE(LEFT(D167,4)),VALUE(MID(D167,6,2)),VALUE(RIGHT(D167,2))),IF(LEN(D167)=7,DATE(VALUE(LEFT(D167,4)),VALUE(MID(D167,6,2)),15),DATE(VALUE(LEFT(D167,4)),7,1)))</f>
        <v>33575</v>
      </c>
      <c r="G167" s="6" t="n">
        <f aca="false">INDEX(Acts!$D:$D,MATCH(B167,Acts!$B:$B,0))</f>
        <v>32204</v>
      </c>
      <c r="H167" s="5" t="str">
        <f aca="false">IF(F167&gt;G167,"yes","no")</f>
        <v>yes</v>
      </c>
      <c r="I167" s="5" t="s">
        <v>218</v>
      </c>
      <c r="J167" s="5" t="n">
        <v>124</v>
      </c>
      <c r="K167" s="5" t="str">
        <f aca="false">IF(J167="","no","yes")</f>
        <v>yes</v>
      </c>
      <c r="L167" s="5"/>
      <c r="M167" s="7" t="n">
        <f aca="false">IF(L167="",0,IF(L167="Gold",0.5,IF(L167="Platinum",1,IF(L167="Diamond",10,IF(ISNUMBER(FIND("×",L167)),VALUE(LEFT(L167,FIND("×",L167)-1)),0)))))</f>
        <v>0</v>
      </c>
      <c r="N167" s="5" t="s">
        <v>833</v>
      </c>
      <c r="O167" s="5"/>
    </row>
    <row r="168" customFormat="false" ht="15" hidden="false" customHeight="false" outlineLevel="0" collapsed="false">
      <c r="A168" s="5" t="s">
        <v>840</v>
      </c>
      <c r="B168" s="5" t="s">
        <v>123</v>
      </c>
      <c r="C168" s="5" t="s">
        <v>841</v>
      </c>
      <c r="D168" s="5" t="s">
        <v>842</v>
      </c>
      <c r="E168" s="8" t="n">
        <f aca="false">VALUE(LEFT(D168,4))</f>
        <v>1993</v>
      </c>
      <c r="F168" s="6" t="n">
        <f aca="false">IF(LEN(D168)=10,DATE(VALUE(LEFT(D168,4)),VALUE(MID(D168,6,2)),VALUE(RIGHT(D168,2))),IF(LEN(D168)=7,DATE(VALUE(LEFT(D168,4)),VALUE(MID(D168,6,2)),15),DATE(VALUE(LEFT(D168,4)),7,1)))</f>
        <v>34282</v>
      </c>
      <c r="G168" s="6" t="n">
        <f aca="false">INDEX(Acts!$D:$D,MATCH(B168,Acts!$B:$B,0))</f>
        <v>32204</v>
      </c>
      <c r="H168" s="5" t="str">
        <f aca="false">IF(F168&gt;G168,"yes","no")</f>
        <v>yes</v>
      </c>
      <c r="I168" s="5" t="s">
        <v>218</v>
      </c>
      <c r="J168" s="5" t="n">
        <v>164</v>
      </c>
      <c r="K168" s="5" t="str">
        <f aca="false">IF(J168="","no","yes")</f>
        <v>yes</v>
      </c>
      <c r="L168" s="5"/>
      <c r="M168" s="7" t="n">
        <f aca="false">IF(L168="",0,IF(L168="Gold",0.5,IF(L168="Platinum",1,IF(L168="Diamond",10,IF(ISNUMBER(FIND("×",L168)),VALUE(LEFT(L168,FIND("×",L168)-1)),0)))))</f>
        <v>0</v>
      </c>
      <c r="N168" s="5" t="s">
        <v>833</v>
      </c>
      <c r="O168" s="5"/>
    </row>
    <row r="169" customFormat="false" ht="15" hidden="false" customHeight="false" outlineLevel="0" collapsed="false">
      <c r="A169" s="5" t="s">
        <v>843</v>
      </c>
      <c r="B169" s="5" t="s">
        <v>123</v>
      </c>
      <c r="C169" s="5" t="s">
        <v>844</v>
      </c>
      <c r="D169" s="5" t="s">
        <v>845</v>
      </c>
      <c r="E169" s="8" t="n">
        <f aca="false">VALUE(LEFT(D169,4))</f>
        <v>1995</v>
      </c>
      <c r="F169" s="6" t="n">
        <f aca="false">IF(LEN(D169)=10,DATE(VALUE(LEFT(D169,4)),VALUE(MID(D169,6,2)),VALUE(RIGHT(D169,2))),IF(LEN(D169)=7,DATE(VALUE(LEFT(D169,4)),VALUE(MID(D169,6,2)),15),DATE(VALUE(LEFT(D169,4)),7,1)))</f>
        <v>34891</v>
      </c>
      <c r="G169" s="6" t="n">
        <f aca="false">INDEX(Acts!$D:$D,MATCH(B169,Acts!$B:$B,0))</f>
        <v>32204</v>
      </c>
      <c r="H169" s="5" t="str">
        <f aca="false">IF(F169&gt;G169,"yes","no")</f>
        <v>yes</v>
      </c>
      <c r="I169" s="5" t="s">
        <v>230</v>
      </c>
      <c r="J169" s="5"/>
      <c r="K169" s="5" t="str">
        <f aca="false">IF(J169="","no","yes")</f>
        <v>no</v>
      </c>
      <c r="L169" s="5"/>
      <c r="M169" s="7" t="n">
        <f aca="false">IF(L169="",0,IF(L169="Gold",0.5,IF(L169="Platinum",1,IF(L169="Diamond",10,IF(ISNUMBER(FIND("×",L169)),VALUE(LEFT(L169,FIND("×",L169)-1)),0)))))</f>
        <v>0</v>
      </c>
      <c r="N169" s="5" t="s">
        <v>833</v>
      </c>
      <c r="O169" s="5" t="s">
        <v>846</v>
      </c>
    </row>
    <row r="170" customFormat="false" ht="15" hidden="false" customHeight="false" outlineLevel="0" collapsed="false">
      <c r="A170" s="5" t="s">
        <v>847</v>
      </c>
      <c r="B170" s="5" t="s">
        <v>123</v>
      </c>
      <c r="C170" s="5" t="s">
        <v>848</v>
      </c>
      <c r="D170" s="5" t="s">
        <v>849</v>
      </c>
      <c r="E170" s="8" t="n">
        <f aca="false">VALUE(LEFT(D170,4))</f>
        <v>1998</v>
      </c>
      <c r="F170" s="6" t="n">
        <f aca="false">IF(LEN(D170)=10,DATE(VALUE(LEFT(D170,4)),VALUE(MID(D170,6,2)),VALUE(RIGHT(D170,2))),IF(LEN(D170)=7,DATE(VALUE(LEFT(D170,4)),VALUE(MID(D170,6,2)),15),DATE(VALUE(LEFT(D170,4)),7,1)))</f>
        <v>35885</v>
      </c>
      <c r="G170" s="6" t="n">
        <f aca="false">INDEX(Acts!$D:$D,MATCH(B170,Acts!$B:$B,0))</f>
        <v>32204</v>
      </c>
      <c r="H170" s="5" t="str">
        <f aca="false">IF(F170&gt;G170,"yes","no")</f>
        <v>yes</v>
      </c>
      <c r="I170" s="5" t="s">
        <v>230</v>
      </c>
      <c r="J170" s="5"/>
      <c r="K170" s="5" t="str">
        <f aca="false">IF(J170="","no","yes")</f>
        <v>no</v>
      </c>
      <c r="L170" s="5"/>
      <c r="M170" s="7" t="n">
        <f aca="false">IF(L170="",0,IF(L170="Gold",0.5,IF(L170="Platinum",1,IF(L170="Diamond",10,IF(ISNUMBER(FIND("×",L170)),VALUE(LEFT(L170,FIND("×",L170)-1)),0)))))</f>
        <v>0</v>
      </c>
      <c r="N170" s="5" t="s">
        <v>833</v>
      </c>
      <c r="O170" s="5" t="s">
        <v>846</v>
      </c>
    </row>
    <row r="171" customFormat="false" ht="15" hidden="false" customHeight="false" outlineLevel="0" collapsed="false">
      <c r="A171" s="5" t="s">
        <v>850</v>
      </c>
      <c r="B171" s="5" t="s">
        <v>123</v>
      </c>
      <c r="C171" s="5" t="s">
        <v>851</v>
      </c>
      <c r="D171" s="5" t="s">
        <v>852</v>
      </c>
      <c r="E171" s="8" t="n">
        <f aca="false">VALUE(LEFT(D171,4))</f>
        <v>1999</v>
      </c>
      <c r="F171" s="6" t="n">
        <f aca="false">IF(LEN(D171)=10,DATE(VALUE(LEFT(D171,4)),VALUE(MID(D171,6,2)),VALUE(RIGHT(D171,2))),IF(LEN(D171)=7,DATE(VALUE(LEFT(D171,4)),VALUE(MID(D171,6,2)),15),DATE(VALUE(LEFT(D171,4)),7,1)))</f>
        <v>36481</v>
      </c>
      <c r="G171" s="6" t="n">
        <f aca="false">INDEX(Acts!$D:$D,MATCH(B171,Acts!$B:$B,0))</f>
        <v>32204</v>
      </c>
      <c r="H171" s="5" t="str">
        <f aca="false">IF(F171&gt;G171,"yes","no")</f>
        <v>yes</v>
      </c>
      <c r="I171" s="5" t="s">
        <v>230</v>
      </c>
      <c r="J171" s="5"/>
      <c r="K171" s="5" t="str">
        <f aca="false">IF(J171="","no","yes")</f>
        <v>no</v>
      </c>
      <c r="L171" s="5"/>
      <c r="M171" s="7" t="n">
        <f aca="false">IF(L171="",0,IF(L171="Gold",0.5,IF(L171="Platinum",1,IF(L171="Diamond",10,IF(ISNUMBER(FIND("×",L171)),VALUE(LEFT(L171,FIND("×",L171)-1)),0)))))</f>
        <v>0</v>
      </c>
      <c r="N171" s="5" t="s">
        <v>833</v>
      </c>
      <c r="O171" s="5" t="s">
        <v>846</v>
      </c>
    </row>
    <row r="172" customFormat="false" ht="15" hidden="false" customHeight="false" outlineLevel="0" collapsed="false">
      <c r="A172" s="5" t="s">
        <v>853</v>
      </c>
      <c r="B172" s="5" t="s">
        <v>123</v>
      </c>
      <c r="C172" s="5" t="s">
        <v>854</v>
      </c>
      <c r="D172" s="5" t="s">
        <v>855</v>
      </c>
      <c r="E172" s="8" t="n">
        <f aca="false">VALUE(LEFT(D172,4))</f>
        <v>2001</v>
      </c>
      <c r="F172" s="6" t="n">
        <f aca="false">IF(LEN(D172)=10,DATE(VALUE(LEFT(D172,4)),VALUE(MID(D172,6,2)),VALUE(RIGHT(D172,2))),IF(LEN(D172)=7,DATE(VALUE(LEFT(D172,4)),VALUE(MID(D172,6,2)),15),DATE(VALUE(LEFT(D172,4)),7,1)))</f>
        <v>37188</v>
      </c>
      <c r="G172" s="6" t="n">
        <f aca="false">INDEX(Acts!$D:$D,MATCH(B172,Acts!$B:$B,0))</f>
        <v>32204</v>
      </c>
      <c r="H172" s="5" t="str">
        <f aca="false">IF(F172&gt;G172,"yes","no")</f>
        <v>yes</v>
      </c>
      <c r="I172" s="5" t="s">
        <v>230</v>
      </c>
      <c r="J172" s="5"/>
      <c r="K172" s="5" t="str">
        <f aca="false">IF(J172="","no","yes")</f>
        <v>no</v>
      </c>
      <c r="L172" s="5"/>
      <c r="M172" s="7" t="n">
        <f aca="false">IF(L172="",0,IF(L172="Gold",0.5,IF(L172="Platinum",1,IF(L172="Diamond",10,IF(ISNUMBER(FIND("×",L172)),VALUE(LEFT(L172,FIND("×",L172)-1)),0)))))</f>
        <v>0</v>
      </c>
      <c r="N172" s="5" t="s">
        <v>833</v>
      </c>
      <c r="O172" s="5" t="s">
        <v>846</v>
      </c>
    </row>
    <row r="173" customFormat="false" ht="15" hidden="false" customHeight="false" outlineLevel="0" collapsed="false">
      <c r="A173" s="5" t="s">
        <v>856</v>
      </c>
      <c r="B173" s="5" t="s">
        <v>123</v>
      </c>
      <c r="C173" s="5" t="s">
        <v>857</v>
      </c>
      <c r="D173" s="5" t="s">
        <v>858</v>
      </c>
      <c r="E173" s="8" t="n">
        <f aca="false">VALUE(LEFT(D173,4))</f>
        <v>2006</v>
      </c>
      <c r="F173" s="6" t="n">
        <f aca="false">IF(LEN(D173)=10,DATE(VALUE(LEFT(D173,4)),VALUE(MID(D173,6,2)),VALUE(RIGHT(D173,2))),IF(LEN(D173)=7,DATE(VALUE(LEFT(D173,4)),VALUE(MID(D173,6,2)),15),DATE(VALUE(LEFT(D173,4)),7,1)))</f>
        <v>38937</v>
      </c>
      <c r="G173" s="6" t="n">
        <f aca="false">INDEX(Acts!$D:$D,MATCH(B173,Acts!$B:$B,0))</f>
        <v>32204</v>
      </c>
      <c r="H173" s="5" t="str">
        <f aca="false">IF(F173&gt;G173,"yes","no")</f>
        <v>yes</v>
      </c>
      <c r="I173" s="5" t="s">
        <v>230</v>
      </c>
      <c r="J173" s="5"/>
      <c r="K173" s="5" t="str">
        <f aca="false">IF(J173="","no","yes")</f>
        <v>no</v>
      </c>
      <c r="L173" s="5"/>
      <c r="M173" s="7" t="n">
        <f aca="false">IF(L173="",0,IF(L173="Gold",0.5,IF(L173="Platinum",1,IF(L173="Diamond",10,IF(ISNUMBER(FIND("×",L173)),VALUE(LEFT(L173,FIND("×",L173)-1)),0)))))</f>
        <v>0</v>
      </c>
      <c r="N173" s="5" t="s">
        <v>833</v>
      </c>
      <c r="O173" s="5" t="s">
        <v>846</v>
      </c>
    </row>
    <row r="174" customFormat="false" ht="15" hidden="false" customHeight="false" outlineLevel="0" collapsed="false">
      <c r="A174" s="5" t="s">
        <v>859</v>
      </c>
      <c r="B174" s="5" t="s">
        <v>126</v>
      </c>
      <c r="C174" s="5" t="s">
        <v>860</v>
      </c>
      <c r="D174" s="5" t="s">
        <v>861</v>
      </c>
      <c r="E174" s="8" t="n">
        <f aca="false">VALUE(LEFT(D174,4))</f>
        <v>1984</v>
      </c>
      <c r="F174" s="6" t="n">
        <f aca="false">IF(LEN(D174)=10,DATE(VALUE(LEFT(D174,4)),VALUE(MID(D174,6,2)),VALUE(RIGHT(D174,2))),IF(LEN(D174)=7,DATE(VALUE(LEFT(D174,4)),VALUE(MID(D174,6,2)),15),DATE(VALUE(LEFT(D174,4)),7,1)))</f>
        <v>30970</v>
      </c>
      <c r="G174" s="6" t="n">
        <f aca="false">INDEX(Acts!$D:$D,MATCH(B174,Acts!$B:$B,0))</f>
        <v>31104</v>
      </c>
      <c r="H174" s="5" t="str">
        <f aca="false">IF(F174&gt;G174,"yes","no")</f>
        <v>no</v>
      </c>
      <c r="I174" s="5" t="s">
        <v>218</v>
      </c>
      <c r="J174" s="5" t="n">
        <v>71</v>
      </c>
      <c r="K174" s="5" t="str">
        <f aca="false">IF(J174="","no","yes")</f>
        <v>yes</v>
      </c>
      <c r="L174" s="5" t="s">
        <v>510</v>
      </c>
      <c r="M174" s="7" t="n">
        <f aca="false">IF(L174="",0,IF(L174="Gold",0.5,IF(L174="Platinum",1,IF(L174="Diamond",10,IF(ISNUMBER(FIND("×",L174)),VALUE(LEFT(L174,FIND("×",L174)-1)),0)))))</f>
        <v>2</v>
      </c>
      <c r="N174" s="5" t="s">
        <v>862</v>
      </c>
      <c r="O174" s="5"/>
    </row>
    <row r="175" customFormat="false" ht="15" hidden="false" customHeight="false" outlineLevel="0" collapsed="false">
      <c r="A175" s="5" t="s">
        <v>863</v>
      </c>
      <c r="B175" s="5" t="s">
        <v>126</v>
      </c>
      <c r="C175" s="5" t="s">
        <v>864</v>
      </c>
      <c r="D175" s="5" t="s">
        <v>865</v>
      </c>
      <c r="E175" s="8" t="n">
        <f aca="false">VALUE(LEFT(D175,4))</f>
        <v>1985</v>
      </c>
      <c r="F175" s="6" t="n">
        <f aca="false">IF(LEN(D175)=10,DATE(VALUE(LEFT(D175,4)),VALUE(MID(D175,6,2)),VALUE(RIGHT(D175,2))),IF(LEN(D175)=7,DATE(VALUE(LEFT(D175,4)),VALUE(MID(D175,6,2)),15),DATE(VALUE(LEFT(D175,4)),7,1)))</f>
        <v>31350</v>
      </c>
      <c r="G175" s="6" t="n">
        <f aca="false">INDEX(Acts!$D:$D,MATCH(B175,Acts!$B:$B,0))</f>
        <v>31104</v>
      </c>
      <c r="H175" s="5" t="str">
        <f aca="false">IF(F175&gt;G175,"yes","no")</f>
        <v>yes</v>
      </c>
      <c r="I175" s="5" t="s">
        <v>218</v>
      </c>
      <c r="J175" s="5" t="n">
        <v>66</v>
      </c>
      <c r="K175" s="5" t="str">
        <f aca="false">IF(J175="","no","yes")</f>
        <v>yes</v>
      </c>
      <c r="L175" s="5" t="s">
        <v>219</v>
      </c>
      <c r="M175" s="7" t="n">
        <f aca="false">IF(L175="",0,IF(L175="Gold",0.5,IF(L175="Platinum",1,IF(L175="Diamond",10,IF(ISNUMBER(FIND("×",L175)),VALUE(LEFT(L175,FIND("×",L175)-1)),0)))))</f>
        <v>1</v>
      </c>
      <c r="N175" s="5" t="s">
        <v>862</v>
      </c>
      <c r="O175" s="5"/>
    </row>
    <row r="176" customFormat="false" ht="15" hidden="false" customHeight="false" outlineLevel="0" collapsed="false">
      <c r="A176" s="5" t="s">
        <v>866</v>
      </c>
      <c r="B176" s="5" t="s">
        <v>126</v>
      </c>
      <c r="C176" s="5" t="s">
        <v>867</v>
      </c>
      <c r="D176" s="5" t="s">
        <v>868</v>
      </c>
      <c r="E176" s="8" t="n">
        <f aca="false">VALUE(LEFT(D176,4))</f>
        <v>1987</v>
      </c>
      <c r="F176" s="6" t="n">
        <f aca="false">IF(LEN(D176)=10,DATE(VALUE(LEFT(D176,4)),VALUE(MID(D176,6,2)),VALUE(RIGHT(D176,2))),IF(LEN(D176)=7,DATE(VALUE(LEFT(D176,4)),VALUE(MID(D176,6,2)),15),DATE(VALUE(LEFT(D176,4)),7,1)))</f>
        <v>31810</v>
      </c>
      <c r="G176" s="6" t="n">
        <f aca="false">INDEX(Acts!$D:$D,MATCH(B176,Acts!$B:$B,0))</f>
        <v>31104</v>
      </c>
      <c r="H176" s="5" t="str">
        <f aca="false">IF(F176&gt;G176,"yes","no")</f>
        <v>yes</v>
      </c>
      <c r="I176" s="5" t="s">
        <v>218</v>
      </c>
      <c r="J176" s="5" t="n">
        <v>52</v>
      </c>
      <c r="K176" s="5" t="str">
        <f aca="false">IF(J176="","no","yes")</f>
        <v>yes</v>
      </c>
      <c r="L176" s="5" t="s">
        <v>219</v>
      </c>
      <c r="M176" s="7" t="n">
        <f aca="false">IF(L176="",0,IF(L176="Gold",0.5,IF(L176="Platinum",1,IF(L176="Diamond",10,IF(ISNUMBER(FIND("×",L176)),VALUE(LEFT(L176,FIND("×",L176)-1)),0)))))</f>
        <v>1</v>
      </c>
      <c r="N176" s="5" t="s">
        <v>862</v>
      </c>
      <c r="O176" s="5"/>
    </row>
    <row r="177" customFormat="false" ht="15" hidden="false" customHeight="false" outlineLevel="0" collapsed="false">
      <c r="A177" s="5" t="s">
        <v>869</v>
      </c>
      <c r="B177" s="5" t="s">
        <v>126</v>
      </c>
      <c r="C177" s="5" t="s">
        <v>870</v>
      </c>
      <c r="D177" s="5" t="s">
        <v>871</v>
      </c>
      <c r="E177" s="8" t="n">
        <f aca="false">VALUE(LEFT(D177,4))</f>
        <v>1987</v>
      </c>
      <c r="F177" s="6" t="n">
        <f aca="false">IF(LEN(D177)=10,DATE(VALUE(LEFT(D177,4)),VALUE(MID(D177,6,2)),VALUE(RIGHT(D177,2))),IF(LEN(D177)=7,DATE(VALUE(LEFT(D177,4)),VALUE(MID(D177,6,2)),15),DATE(VALUE(LEFT(D177,4)),7,1)))</f>
        <v>32049</v>
      </c>
      <c r="G177" s="6" t="n">
        <f aca="false">INDEX(Acts!$D:$D,MATCH(B177,Acts!$B:$B,0))</f>
        <v>31104</v>
      </c>
      <c r="H177" s="5" t="str">
        <f aca="false">IF(F177&gt;G177,"yes","no")</f>
        <v>yes</v>
      </c>
      <c r="I177" s="5" t="s">
        <v>218</v>
      </c>
      <c r="J177" s="5"/>
      <c r="K177" s="5" t="str">
        <f aca="false">IF(J177="","no","yes")</f>
        <v>no</v>
      </c>
      <c r="L177" s="5" t="s">
        <v>219</v>
      </c>
      <c r="M177" s="7" t="n">
        <f aca="false">IF(L177="",0,IF(L177="Gold",0.5,IF(L177="Platinum",1,IF(L177="Diamond",10,IF(ISNUMBER(FIND("×",L177)),VALUE(LEFT(L177,FIND("×",L177)-1)),0)))))</f>
        <v>1</v>
      </c>
      <c r="N177" s="5" t="s">
        <v>862</v>
      </c>
      <c r="O177" s="5" t="s">
        <v>872</v>
      </c>
    </row>
    <row r="178" customFormat="false" ht="15" hidden="false" customHeight="false" outlineLevel="0" collapsed="false">
      <c r="A178" s="5" t="s">
        <v>873</v>
      </c>
      <c r="B178" s="5" t="s">
        <v>126</v>
      </c>
      <c r="C178" s="5" t="s">
        <v>874</v>
      </c>
      <c r="D178" s="5" t="s">
        <v>875</v>
      </c>
      <c r="E178" s="8" t="n">
        <f aca="false">VALUE(LEFT(D178,4))</f>
        <v>1989</v>
      </c>
      <c r="F178" s="6" t="n">
        <f aca="false">IF(LEN(D178)=10,DATE(VALUE(LEFT(D178,4)),VALUE(MID(D178,6,2)),VALUE(RIGHT(D178,2))),IF(LEN(D178)=7,DATE(VALUE(LEFT(D178,4)),VALUE(MID(D178,6,2)),15),DATE(VALUE(LEFT(D178,4)),7,1)))</f>
        <v>32602</v>
      </c>
      <c r="G178" s="6" t="n">
        <f aca="false">INDEX(Acts!$D:$D,MATCH(B178,Acts!$B:$B,0))</f>
        <v>31104</v>
      </c>
      <c r="H178" s="5" t="str">
        <f aca="false">IF(F178&gt;G178,"yes","no")</f>
        <v>yes</v>
      </c>
      <c r="I178" s="5" t="s">
        <v>218</v>
      </c>
      <c r="J178" s="5" t="n">
        <v>51</v>
      </c>
      <c r="K178" s="5" t="str">
        <f aca="false">IF(J178="","no","yes")</f>
        <v>yes</v>
      </c>
      <c r="L178" s="5" t="s">
        <v>271</v>
      </c>
      <c r="M178" s="7" t="n">
        <f aca="false">IF(L178="",0,IF(L178="Gold",0.5,IF(L178="Platinum",1,IF(L178="Diamond",10,IF(ISNUMBER(FIND("×",L178)),VALUE(LEFT(L178,FIND("×",L178)-1)),0)))))</f>
        <v>0.5</v>
      </c>
      <c r="N178" s="5" t="s">
        <v>862</v>
      </c>
      <c r="O178" s="5"/>
    </row>
    <row r="179" customFormat="false" ht="15" hidden="false" customHeight="false" outlineLevel="0" collapsed="false">
      <c r="A179" s="5" t="s">
        <v>876</v>
      </c>
      <c r="B179" s="5" t="s">
        <v>126</v>
      </c>
      <c r="C179" s="5" t="s">
        <v>877</v>
      </c>
      <c r="D179" s="5" t="s">
        <v>878</v>
      </c>
      <c r="E179" s="8" t="n">
        <f aca="false">VALUE(LEFT(D179,4))</f>
        <v>1990</v>
      </c>
      <c r="F179" s="6" t="n">
        <f aca="false">IF(LEN(D179)=10,DATE(VALUE(LEFT(D179,4)),VALUE(MID(D179,6,2)),VALUE(RIGHT(D179,2))),IF(LEN(D179)=7,DATE(VALUE(LEFT(D179,4)),VALUE(MID(D179,6,2)),15),DATE(VALUE(LEFT(D179,4)),7,1)))</f>
        <v>33127</v>
      </c>
      <c r="G179" s="6" t="n">
        <f aca="false">INDEX(Acts!$D:$D,MATCH(B179,Acts!$B:$B,0))</f>
        <v>31104</v>
      </c>
      <c r="H179" s="5" t="str">
        <f aca="false">IF(F179&gt;G179,"yes","no")</f>
        <v>yes</v>
      </c>
      <c r="I179" s="5" t="s">
        <v>218</v>
      </c>
      <c r="J179" s="5" t="n">
        <v>62</v>
      </c>
      <c r="K179" s="5" t="str">
        <f aca="false">IF(J179="","no","yes")</f>
        <v>yes</v>
      </c>
      <c r="L179" s="5" t="s">
        <v>219</v>
      </c>
      <c r="M179" s="7" t="n">
        <f aca="false">IF(L179="",0,IF(L179="Gold",0.5,IF(L179="Platinum",1,IF(L179="Diamond",10,IF(ISNUMBER(FIND("×",L179)),VALUE(LEFT(L179,FIND("×",L179)-1)),0)))))</f>
        <v>1</v>
      </c>
      <c r="N179" s="5" t="s">
        <v>862</v>
      </c>
      <c r="O179" s="5"/>
    </row>
    <row r="180" customFormat="false" ht="15" hidden="false" customHeight="false" outlineLevel="0" collapsed="false">
      <c r="A180" s="5" t="s">
        <v>879</v>
      </c>
      <c r="B180" s="5" t="s">
        <v>129</v>
      </c>
      <c r="C180" s="5" t="s">
        <v>880</v>
      </c>
      <c r="D180" s="5" t="s">
        <v>861</v>
      </c>
      <c r="E180" s="8" t="n">
        <f aca="false">VALUE(LEFT(D180,4))</f>
        <v>1984</v>
      </c>
      <c r="F180" s="6" t="n">
        <f aca="false">IF(LEN(D180)=10,DATE(VALUE(LEFT(D180,4)),VALUE(MID(D180,6,2)),VALUE(RIGHT(D180,2))),IF(LEN(D180)=7,DATE(VALUE(LEFT(D180,4)),VALUE(MID(D180,6,2)),15),DATE(VALUE(LEFT(D180,4)),7,1)))</f>
        <v>30970</v>
      </c>
      <c r="G180" s="6" t="n">
        <f aca="false">INDEX(Acts!$D:$D,MATCH(B180,Acts!$B:$B,0))</f>
        <v>31468</v>
      </c>
      <c r="H180" s="5" t="str">
        <f aca="false">IF(F180&gt;G180,"yes","no")</f>
        <v>no</v>
      </c>
      <c r="I180" s="5" t="s">
        <v>218</v>
      </c>
      <c r="J180" s="5" t="n">
        <v>17</v>
      </c>
      <c r="K180" s="5" t="str">
        <f aca="false">IF(J180="","no","yes")</f>
        <v>yes</v>
      </c>
      <c r="L180" s="5" t="s">
        <v>219</v>
      </c>
      <c r="M180" s="7" t="n">
        <f aca="false">IF(L180="",0,IF(L180="Gold",0.5,IF(L180="Platinum",1,IF(L180="Diamond",10,IF(ISNUMBER(FIND("×",L180)),VALUE(LEFT(L180,FIND("×",L180)-1)),0)))))</f>
        <v>1</v>
      </c>
      <c r="N180" s="5" t="s">
        <v>881</v>
      </c>
      <c r="O180" s="5"/>
    </row>
    <row r="181" customFormat="false" ht="15" hidden="false" customHeight="false" outlineLevel="0" collapsed="false">
      <c r="A181" s="5" t="s">
        <v>882</v>
      </c>
      <c r="B181" s="5" t="s">
        <v>129</v>
      </c>
      <c r="C181" s="5" t="s">
        <v>883</v>
      </c>
      <c r="D181" s="5" t="s">
        <v>884</v>
      </c>
      <c r="E181" s="8" t="n">
        <f aca="false">VALUE(LEFT(D181,4))</f>
        <v>1986</v>
      </c>
      <c r="F181" s="6" t="n">
        <f aca="false">IF(LEN(D181)=10,DATE(VALUE(LEFT(D181,4)),VALUE(MID(D181,6,2)),VALUE(RIGHT(D181,2))),IF(LEN(D181)=7,DATE(VALUE(LEFT(D181,4)),VALUE(MID(D181,6,2)),15),DATE(VALUE(LEFT(D181,4)),7,1)))</f>
        <v>31495</v>
      </c>
      <c r="G181" s="6" t="n">
        <f aca="false">INDEX(Acts!$D:$D,MATCH(B181,Acts!$B:$B,0))</f>
        <v>31468</v>
      </c>
      <c r="H181" s="5" t="str">
        <f aca="false">IF(F181&gt;G181,"yes","no")</f>
        <v>yes</v>
      </c>
      <c r="I181" s="5" t="s">
        <v>218</v>
      </c>
      <c r="J181" s="5" t="n">
        <v>32</v>
      </c>
      <c r="K181" s="5" t="str">
        <f aca="false">IF(J181="","no","yes")</f>
        <v>yes</v>
      </c>
      <c r="L181" s="5" t="s">
        <v>271</v>
      </c>
      <c r="M181" s="7" t="n">
        <f aca="false">IF(L181="",0,IF(L181="Gold",0.5,IF(L181="Platinum",1,IF(L181="Diamond",10,IF(ISNUMBER(FIND("×",L181)),VALUE(LEFT(L181,FIND("×",L181)-1)),0)))))</f>
        <v>0.5</v>
      </c>
      <c r="N181" s="5" t="s">
        <v>881</v>
      </c>
      <c r="O181" s="5"/>
    </row>
    <row r="182" customFormat="false" ht="15" hidden="false" customHeight="false" outlineLevel="0" collapsed="false">
      <c r="A182" s="5" t="s">
        <v>885</v>
      </c>
      <c r="B182" s="5" t="s">
        <v>129</v>
      </c>
      <c r="C182" s="5" t="s">
        <v>886</v>
      </c>
      <c r="D182" s="5" t="s">
        <v>887</v>
      </c>
      <c r="E182" s="8" t="n">
        <f aca="false">VALUE(LEFT(D182,4))</f>
        <v>1989</v>
      </c>
      <c r="F182" s="6" t="n">
        <f aca="false">IF(LEN(D182)=10,DATE(VALUE(LEFT(D182,4)),VALUE(MID(D182,6,2)),VALUE(RIGHT(D182,2))),IF(LEN(D182)=7,DATE(VALUE(LEFT(D182,4)),VALUE(MID(D182,6,2)),15),DATE(VALUE(LEFT(D182,4)),7,1)))</f>
        <v>32577</v>
      </c>
      <c r="G182" s="6" t="n">
        <f aca="false">INDEX(Acts!$D:$D,MATCH(B182,Acts!$B:$B,0))</f>
        <v>31468</v>
      </c>
      <c r="H182" s="5" t="str">
        <f aca="false">IF(F182&gt;G182,"yes","no")</f>
        <v>yes</v>
      </c>
      <c r="I182" s="5" t="s">
        <v>218</v>
      </c>
      <c r="J182" s="5" t="n">
        <v>87</v>
      </c>
      <c r="K182" s="5" t="str">
        <f aca="false">IF(J182="","no","yes")</f>
        <v>yes</v>
      </c>
      <c r="L182" s="5"/>
      <c r="M182" s="7" t="n">
        <f aca="false">IF(L182="",0,IF(L182="Gold",0.5,IF(L182="Platinum",1,IF(L182="Diamond",10,IF(ISNUMBER(FIND("×",L182)),VALUE(LEFT(L182,FIND("×",L182)-1)),0)))))</f>
        <v>0</v>
      </c>
      <c r="N182" s="5" t="s">
        <v>881</v>
      </c>
      <c r="O182" s="5"/>
    </row>
    <row r="183" customFormat="false" ht="15" hidden="false" customHeight="false" outlineLevel="0" collapsed="false">
      <c r="A183" s="5" t="s">
        <v>888</v>
      </c>
      <c r="B183" s="5" t="s">
        <v>129</v>
      </c>
      <c r="C183" s="5" t="s">
        <v>889</v>
      </c>
      <c r="D183" s="5" t="s">
        <v>890</v>
      </c>
      <c r="E183" s="8" t="n">
        <f aca="false">VALUE(LEFT(D183,4))</f>
        <v>1991</v>
      </c>
      <c r="F183" s="6" t="n">
        <f aca="false">IF(LEN(D183)=10,DATE(VALUE(LEFT(D183,4)),VALUE(MID(D183,6,2)),VALUE(RIGHT(D183,2))),IF(LEN(D183)=7,DATE(VALUE(LEFT(D183,4)),VALUE(MID(D183,6,2)),15),DATE(VALUE(LEFT(D183,4)),7,1)))</f>
        <v>33470</v>
      </c>
      <c r="G183" s="6" t="n">
        <f aca="false">INDEX(Acts!$D:$D,MATCH(B183,Acts!$B:$B,0))</f>
        <v>31468</v>
      </c>
      <c r="H183" s="5" t="str">
        <f aca="false">IF(F183&gt;G183,"yes","no")</f>
        <v>yes</v>
      </c>
      <c r="I183" s="5" t="s">
        <v>218</v>
      </c>
      <c r="J183" s="5"/>
      <c r="K183" s="5" t="str">
        <f aca="false">IF(J183="","no","yes")</f>
        <v>no</v>
      </c>
      <c r="L183" s="5"/>
      <c r="M183" s="7" t="n">
        <f aca="false">IF(L183="",0,IF(L183="Gold",0.5,IF(L183="Platinum",1,IF(L183="Diamond",10,IF(ISNUMBER(FIND("×",L183)),VALUE(LEFT(L183,FIND("×",L183)-1)),0)))))</f>
        <v>0</v>
      </c>
      <c r="N183" s="5" t="s">
        <v>891</v>
      </c>
      <c r="O183" s="5" t="s">
        <v>892</v>
      </c>
    </row>
    <row r="184" customFormat="false" ht="15" hidden="false" customHeight="false" outlineLevel="0" collapsed="false">
      <c r="A184" s="5" t="s">
        <v>893</v>
      </c>
      <c r="B184" s="5" t="s">
        <v>129</v>
      </c>
      <c r="C184" s="5" t="s">
        <v>894</v>
      </c>
      <c r="D184" s="5" t="s">
        <v>895</v>
      </c>
      <c r="E184" s="8" t="n">
        <f aca="false">VALUE(LEFT(D184,4))</f>
        <v>1998</v>
      </c>
      <c r="F184" s="6" t="n">
        <f aca="false">IF(LEN(D184)=10,DATE(VALUE(LEFT(D184,4)),VALUE(MID(D184,6,2)),VALUE(RIGHT(D184,2))),IF(LEN(D184)=7,DATE(VALUE(LEFT(D184,4)),VALUE(MID(D184,6,2)),15),DATE(VALUE(LEFT(D184,4)),7,1)))</f>
        <v>35933</v>
      </c>
      <c r="G184" s="6" t="n">
        <f aca="false">INDEX(Acts!$D:$D,MATCH(B184,Acts!$B:$B,0))</f>
        <v>31468</v>
      </c>
      <c r="H184" s="5" t="str">
        <f aca="false">IF(F184&gt;G184,"yes","no")</f>
        <v>yes</v>
      </c>
      <c r="I184" s="5" t="s">
        <v>218</v>
      </c>
      <c r="J184" s="5"/>
      <c r="K184" s="5" t="str">
        <f aca="false">IF(J184="","no","yes")</f>
        <v>no</v>
      </c>
      <c r="L184" s="5"/>
      <c r="M184" s="7" t="n">
        <f aca="false">IF(L184="",0,IF(L184="Gold",0.5,IF(L184="Platinum",1,IF(L184="Diamond",10,IF(ISNUMBER(FIND("×",L184)),VALUE(LEFT(L184,FIND("×",L184)-1)),0)))))</f>
        <v>0</v>
      </c>
      <c r="N184" s="5" t="s">
        <v>896</v>
      </c>
      <c r="O184" s="5" t="s">
        <v>897</v>
      </c>
    </row>
    <row r="185" customFormat="false" ht="15" hidden="false" customHeight="false" outlineLevel="0" collapsed="false">
      <c r="A185" s="5" t="s">
        <v>898</v>
      </c>
      <c r="B185" s="5" t="s">
        <v>129</v>
      </c>
      <c r="C185" s="5" t="s">
        <v>899</v>
      </c>
      <c r="D185" s="5" t="s">
        <v>900</v>
      </c>
      <c r="E185" s="8" t="n">
        <f aca="false">VALUE(LEFT(D185,4))</f>
        <v>2011</v>
      </c>
      <c r="F185" s="6" t="n">
        <f aca="false">IF(LEN(D185)=10,DATE(VALUE(LEFT(D185,4)),VALUE(MID(D185,6,2)),VALUE(RIGHT(D185,2))),IF(LEN(D185)=7,DATE(VALUE(LEFT(D185,4)),VALUE(MID(D185,6,2)),15),DATE(VALUE(LEFT(D185,4)),7,1)))</f>
        <v>40818</v>
      </c>
      <c r="G185" s="6" t="n">
        <f aca="false">INDEX(Acts!$D:$D,MATCH(B185,Acts!$B:$B,0))</f>
        <v>31468</v>
      </c>
      <c r="H185" s="5" t="str">
        <f aca="false">IF(F185&gt;G185,"yes","no")</f>
        <v>yes</v>
      </c>
      <c r="I185" s="5" t="s">
        <v>218</v>
      </c>
      <c r="J185" s="5"/>
      <c r="K185" s="5" t="str">
        <f aca="false">IF(J185="","no","yes")</f>
        <v>no</v>
      </c>
      <c r="L185" s="5"/>
      <c r="M185" s="7" t="n">
        <f aca="false">IF(L185="",0,IF(L185="Gold",0.5,IF(L185="Platinum",1,IF(L185="Diamond",10,IF(ISNUMBER(FIND("×",L185)),VALUE(LEFT(L185,FIND("×",L185)-1)),0)))))</f>
        <v>0</v>
      </c>
      <c r="N185" s="5" t="s">
        <v>901</v>
      </c>
      <c r="O185" s="5" t="s">
        <v>902</v>
      </c>
    </row>
    <row r="186" customFormat="false" ht="15" hidden="false" customHeight="false" outlineLevel="0" collapsed="false">
      <c r="A186" s="5" t="s">
        <v>903</v>
      </c>
      <c r="B186" s="5" t="s">
        <v>129</v>
      </c>
      <c r="C186" s="5" t="s">
        <v>904</v>
      </c>
      <c r="D186" s="5" t="s">
        <v>905</v>
      </c>
      <c r="E186" s="8" t="n">
        <f aca="false">VALUE(LEFT(D186,4))</f>
        <v>2022</v>
      </c>
      <c r="F186" s="6" t="n">
        <f aca="false">IF(LEN(D186)=10,DATE(VALUE(LEFT(D186,4)),VALUE(MID(D186,6,2)),VALUE(RIGHT(D186,2))),IF(LEN(D186)=7,DATE(VALUE(LEFT(D186,4)),VALUE(MID(D186,6,2)),15),DATE(VALUE(LEFT(D186,4)),7,1)))</f>
        <v>44813</v>
      </c>
      <c r="G186" s="6" t="n">
        <f aca="false">INDEX(Acts!$D:$D,MATCH(B186,Acts!$B:$B,0))</f>
        <v>31468</v>
      </c>
      <c r="H186" s="5" t="str">
        <f aca="false">IF(F186&gt;G186,"yes","no")</f>
        <v>yes</v>
      </c>
      <c r="I186" s="5" t="s">
        <v>230</v>
      </c>
      <c r="J186" s="5"/>
      <c r="K186" s="5" t="str">
        <f aca="false">IF(J186="","no","yes")</f>
        <v>no</v>
      </c>
      <c r="L186" s="5"/>
      <c r="M186" s="7" t="n">
        <f aca="false">IF(L186="",0,IF(L186="Gold",0.5,IF(L186="Platinum",1,IF(L186="Diamond",10,IF(ISNUMBER(FIND("×",L186)),VALUE(LEFT(L186,FIND("×",L186)-1)),0)))))</f>
        <v>0</v>
      </c>
      <c r="N186" s="5" t="s">
        <v>906</v>
      </c>
      <c r="O186" s="5" t="s">
        <v>907</v>
      </c>
    </row>
    <row r="187" customFormat="false" ht="15" hidden="false" customHeight="false" outlineLevel="0" collapsed="false">
      <c r="A187" s="5" t="s">
        <v>908</v>
      </c>
      <c r="B187" s="5" t="s">
        <v>132</v>
      </c>
      <c r="C187" s="5" t="s">
        <v>909</v>
      </c>
      <c r="D187" s="5" t="s">
        <v>910</v>
      </c>
      <c r="E187" s="8" t="n">
        <f aca="false">VALUE(LEFT(D187,4))</f>
        <v>1983</v>
      </c>
      <c r="F187" s="6" t="n">
        <f aca="false">IF(LEN(D187)=10,DATE(VALUE(LEFT(D187,4)),VALUE(MID(D187,6,2)),VALUE(RIGHT(D187,2))),IF(LEN(D187)=7,DATE(VALUE(LEFT(D187,4)),VALUE(MID(D187,6,2)),15),DATE(VALUE(LEFT(D187,4)),7,1)))</f>
        <v>30651</v>
      </c>
      <c r="G187" s="6" t="n">
        <f aca="false">INDEX(Acts!$D:$D,MATCH(B187,Acts!$B:$B,0))</f>
        <v>31468</v>
      </c>
      <c r="H187" s="5" t="str">
        <f aca="false">IF(F187&gt;G187,"yes","no")</f>
        <v>no</v>
      </c>
      <c r="I187" s="5" t="s">
        <v>240</v>
      </c>
      <c r="J187" s="5"/>
      <c r="K187" s="5" t="str">
        <f aca="false">IF(J187="","no","yes")</f>
        <v>no</v>
      </c>
      <c r="L187" s="5"/>
      <c r="M187" s="7" t="n">
        <f aca="false">IF(L187="",0,IF(L187="Gold",0.5,IF(L187="Platinum",1,IF(L187="Diamond",10,IF(ISNUMBER(FIND("×",L187)),VALUE(LEFT(L187,FIND("×",L187)-1)),0)))))</f>
        <v>0</v>
      </c>
      <c r="N187" s="5" t="s">
        <v>911</v>
      </c>
      <c r="O187" s="5" t="s">
        <v>912</v>
      </c>
    </row>
    <row r="188" customFormat="false" ht="15" hidden="false" customHeight="false" outlineLevel="0" collapsed="false">
      <c r="A188" s="5" t="s">
        <v>913</v>
      </c>
      <c r="B188" s="5" t="s">
        <v>132</v>
      </c>
      <c r="C188" s="5" t="s">
        <v>914</v>
      </c>
      <c r="D188" s="5" t="s">
        <v>915</v>
      </c>
      <c r="E188" s="8" t="n">
        <f aca="false">VALUE(LEFT(D188,4))</f>
        <v>1984</v>
      </c>
      <c r="F188" s="6" t="n">
        <f aca="false">IF(LEN(D188)=10,DATE(VALUE(LEFT(D188,4)),VALUE(MID(D188,6,2)),VALUE(RIGHT(D188,2))),IF(LEN(D188)=7,DATE(VALUE(LEFT(D188,4)),VALUE(MID(D188,6,2)),15),DATE(VALUE(LEFT(D188,4)),7,1)))</f>
        <v>30864</v>
      </c>
      <c r="G188" s="6" t="n">
        <f aca="false">INDEX(Acts!$D:$D,MATCH(B188,Acts!$B:$B,0))</f>
        <v>31468</v>
      </c>
      <c r="H188" s="5" t="str">
        <f aca="false">IF(F188&gt;G188,"yes","no")</f>
        <v>no</v>
      </c>
      <c r="I188" s="5" t="s">
        <v>240</v>
      </c>
      <c r="J188" s="5"/>
      <c r="K188" s="5" t="str">
        <f aca="false">IF(J188="","no","yes")</f>
        <v>no</v>
      </c>
      <c r="L188" s="5"/>
      <c r="M188" s="7" t="n">
        <f aca="false">IF(L188="",0,IF(L188="Gold",0.5,IF(L188="Platinum",1,IF(L188="Diamond",10,IF(ISNUMBER(FIND("×",L188)),VALUE(LEFT(L188,FIND("×",L188)-1)),0)))))</f>
        <v>0</v>
      </c>
      <c r="N188" s="5" t="s">
        <v>916</v>
      </c>
      <c r="O188" s="5" t="s">
        <v>917</v>
      </c>
    </row>
    <row r="189" customFormat="false" ht="15" hidden="false" customHeight="false" outlineLevel="0" collapsed="false">
      <c r="A189" s="5" t="s">
        <v>918</v>
      </c>
      <c r="B189" s="5" t="s">
        <v>132</v>
      </c>
      <c r="C189" s="5" t="s">
        <v>132</v>
      </c>
      <c r="D189" s="5" t="s">
        <v>919</v>
      </c>
      <c r="E189" s="8" t="n">
        <f aca="false">VALUE(LEFT(D189,4))</f>
        <v>1985</v>
      </c>
      <c r="F189" s="6" t="n">
        <f aca="false">IF(LEN(D189)=10,DATE(VALUE(LEFT(D189,4)),VALUE(MID(D189,6,2)),VALUE(RIGHT(D189,2))),IF(LEN(D189)=7,DATE(VALUE(LEFT(D189,4)),VALUE(MID(D189,6,2)),15),DATE(VALUE(LEFT(D189,4)),7,1)))</f>
        <v>31128</v>
      </c>
      <c r="G189" s="6" t="n">
        <f aca="false">INDEX(Acts!$D:$D,MATCH(B189,Acts!$B:$B,0))</f>
        <v>31468</v>
      </c>
      <c r="H189" s="5" t="str">
        <f aca="false">IF(F189&gt;G189,"yes","no")</f>
        <v>no</v>
      </c>
      <c r="I189" s="5" t="s">
        <v>218</v>
      </c>
      <c r="J189" s="5" t="n">
        <v>25</v>
      </c>
      <c r="K189" s="5" t="str">
        <f aca="false">IF(J189="","no","yes")</f>
        <v>yes</v>
      </c>
      <c r="L189" s="5"/>
      <c r="M189" s="7" t="n">
        <f aca="false">IF(L189="",0,IF(L189="Gold",0.5,IF(L189="Platinum",1,IF(L189="Diamond",10,IF(ISNUMBER(FIND("×",L189)),VALUE(LEFT(L189,FIND("×",L189)-1)),0)))))</f>
        <v>0</v>
      </c>
      <c r="N189" s="5" t="s">
        <v>920</v>
      </c>
      <c r="O189" s="5" t="s">
        <v>921</v>
      </c>
    </row>
    <row r="190" customFormat="false" ht="15" hidden="false" customHeight="false" outlineLevel="0" collapsed="false">
      <c r="A190" s="5" t="s">
        <v>922</v>
      </c>
      <c r="B190" s="5" t="s">
        <v>132</v>
      </c>
      <c r="C190" s="5" t="s">
        <v>923</v>
      </c>
      <c r="D190" s="5" t="s">
        <v>924</v>
      </c>
      <c r="E190" s="8" t="n">
        <f aca="false">VALUE(LEFT(D190,4))</f>
        <v>1986</v>
      </c>
      <c r="F190" s="6" t="n">
        <f aca="false">IF(LEN(D190)=10,DATE(VALUE(LEFT(D190,4)),VALUE(MID(D190,6,2)),VALUE(RIGHT(D190,2))),IF(LEN(D190)=7,DATE(VALUE(LEFT(D190,4)),VALUE(MID(D190,6,2)),15),DATE(VALUE(LEFT(D190,4)),7,1)))</f>
        <v>31594</v>
      </c>
      <c r="G190" s="6" t="n">
        <f aca="false">INDEX(Acts!$D:$D,MATCH(B190,Acts!$B:$B,0))</f>
        <v>31468</v>
      </c>
      <c r="H190" s="5" t="str">
        <f aca="false">IF(F190&gt;G190,"yes","no")</f>
        <v>yes</v>
      </c>
      <c r="I190" s="5" t="s">
        <v>218</v>
      </c>
      <c r="J190" s="5" t="n">
        <v>49</v>
      </c>
      <c r="K190" s="5" t="str">
        <f aca="false">IF(J190="","no","yes")</f>
        <v>yes</v>
      </c>
      <c r="L190" s="5"/>
      <c r="M190" s="7" t="n">
        <f aca="false">IF(L190="",0,IF(L190="Gold",0.5,IF(L190="Platinum",1,IF(L190="Diamond",10,IF(ISNUMBER(FIND("×",L190)),VALUE(LEFT(L190,FIND("×",L190)-1)),0)))))</f>
        <v>0</v>
      </c>
      <c r="N190" s="5" t="s">
        <v>925</v>
      </c>
      <c r="O190" s="5" t="s">
        <v>926</v>
      </c>
    </row>
    <row r="191" customFormat="false" ht="15" hidden="false" customHeight="false" outlineLevel="0" collapsed="false">
      <c r="A191" s="5" t="s">
        <v>927</v>
      </c>
      <c r="B191" s="5" t="s">
        <v>132</v>
      </c>
      <c r="C191" s="5" t="s">
        <v>928</v>
      </c>
      <c r="D191" s="5" t="s">
        <v>929</v>
      </c>
      <c r="E191" s="8" t="n">
        <f aca="false">VALUE(LEFT(D191,4))</f>
        <v>1989</v>
      </c>
      <c r="F191" s="6" t="n">
        <f aca="false">IF(LEN(D191)=10,DATE(VALUE(LEFT(D191,4)),VALUE(MID(D191,6,2)),VALUE(RIGHT(D191,2))),IF(LEN(D191)=7,DATE(VALUE(LEFT(D191,4)),VALUE(MID(D191,6,2)),15),DATE(VALUE(LEFT(D191,4)),7,1)))</f>
        <v>32715</v>
      </c>
      <c r="G191" s="6" t="n">
        <f aca="false">INDEX(Acts!$D:$D,MATCH(B191,Acts!$B:$B,0))</f>
        <v>31468</v>
      </c>
      <c r="H191" s="5" t="str">
        <f aca="false">IF(F191&gt;G191,"yes","no")</f>
        <v>yes</v>
      </c>
      <c r="I191" s="5" t="s">
        <v>218</v>
      </c>
      <c r="J191" s="5" t="n">
        <v>122</v>
      </c>
      <c r="K191" s="5" t="str">
        <f aca="false">IF(J191="","no","yes")</f>
        <v>yes</v>
      </c>
      <c r="L191" s="5"/>
      <c r="M191" s="7" t="n">
        <f aca="false">IF(L191="",0,IF(L191="Gold",0.5,IF(L191="Platinum",1,IF(L191="Diamond",10,IF(ISNUMBER(FIND("×",L191)),VALUE(LEFT(L191,FIND("×",L191)-1)),0)))))</f>
        <v>0</v>
      </c>
      <c r="N191" s="5" t="s">
        <v>930</v>
      </c>
      <c r="O191" s="5"/>
    </row>
    <row r="192" customFormat="false" ht="15" hidden="false" customHeight="false" outlineLevel="0" collapsed="false">
      <c r="A192" s="5" t="s">
        <v>931</v>
      </c>
      <c r="B192" s="5" t="s">
        <v>132</v>
      </c>
      <c r="C192" s="5" t="s">
        <v>932</v>
      </c>
      <c r="D192" s="5" t="s">
        <v>933</v>
      </c>
      <c r="E192" s="8" t="n">
        <f aca="false">VALUE(LEFT(D192,4))</f>
        <v>1991</v>
      </c>
      <c r="F192" s="6" t="n">
        <f aca="false">IF(LEN(D192)=10,DATE(VALUE(LEFT(D192,4)),VALUE(MID(D192,6,2)),VALUE(RIGHT(D192,2))),IF(LEN(D192)=7,DATE(VALUE(LEFT(D192,4)),VALUE(MID(D192,6,2)),15),DATE(VALUE(LEFT(D192,4)),7,1)))</f>
        <v>33420</v>
      </c>
      <c r="G192" s="6" t="n">
        <f aca="false">INDEX(Acts!$D:$D,MATCH(B192,Acts!$B:$B,0))</f>
        <v>31468</v>
      </c>
      <c r="H192" s="5" t="str">
        <f aca="false">IF(F192&gt;G192,"yes","no")</f>
        <v>yes</v>
      </c>
      <c r="I192" s="5" t="s">
        <v>230</v>
      </c>
      <c r="J192" s="5"/>
      <c r="K192" s="5" t="str">
        <f aca="false">IF(J192="","no","yes")</f>
        <v>no</v>
      </c>
      <c r="L192" s="5"/>
      <c r="M192" s="7" t="n">
        <f aca="false">IF(L192="",0,IF(L192="Gold",0.5,IF(L192="Platinum",1,IF(L192="Diamond",10,IF(ISNUMBER(FIND("×",L192)),VALUE(LEFT(L192,FIND("×",L192)-1)),0)))))</f>
        <v>0</v>
      </c>
      <c r="N192" s="5" t="s">
        <v>934</v>
      </c>
      <c r="O192" s="5" t="s">
        <v>935</v>
      </c>
    </row>
    <row r="193" customFormat="false" ht="15" hidden="false" customHeight="false" outlineLevel="0" collapsed="false">
      <c r="A193" s="5" t="s">
        <v>936</v>
      </c>
      <c r="B193" s="5" t="s">
        <v>132</v>
      </c>
      <c r="C193" s="5" t="s">
        <v>937</v>
      </c>
      <c r="D193" s="5" t="s">
        <v>938</v>
      </c>
      <c r="E193" s="8" t="n">
        <f aca="false">VALUE(LEFT(D193,4))</f>
        <v>1993</v>
      </c>
      <c r="F193" s="6" t="n">
        <f aca="false">IF(LEN(D193)=10,DATE(VALUE(LEFT(D193,4)),VALUE(MID(D193,6,2)),VALUE(RIGHT(D193,2))),IF(LEN(D193)=7,DATE(VALUE(LEFT(D193,4)),VALUE(MID(D193,6,2)),15),DATE(VALUE(LEFT(D193,4)),7,1)))</f>
        <v>34151</v>
      </c>
      <c r="G193" s="6" t="n">
        <f aca="false">INDEX(Acts!$D:$D,MATCH(B193,Acts!$B:$B,0))</f>
        <v>31468</v>
      </c>
      <c r="H193" s="5" t="str">
        <f aca="false">IF(F193&gt;G193,"yes","no")</f>
        <v>yes</v>
      </c>
      <c r="I193" s="5" t="s">
        <v>230</v>
      </c>
      <c r="J193" s="5"/>
      <c r="K193" s="5" t="str">
        <f aca="false">IF(J193="","no","yes")</f>
        <v>no</v>
      </c>
      <c r="L193" s="5"/>
      <c r="M193" s="7" t="n">
        <f aca="false">IF(L193="",0,IF(L193="Gold",0.5,IF(L193="Platinum",1,IF(L193="Diamond",10,IF(ISNUMBER(FIND("×",L193)),VALUE(LEFT(L193,FIND("×",L193)-1)),0)))))</f>
        <v>0</v>
      </c>
      <c r="N193" s="5" t="s">
        <v>930</v>
      </c>
      <c r="O193" s="5" t="s">
        <v>939</v>
      </c>
    </row>
    <row r="194" customFormat="false" ht="15" hidden="false" customHeight="false" outlineLevel="0" collapsed="false">
      <c r="A194" s="5" t="s">
        <v>940</v>
      </c>
      <c r="B194" s="5" t="s">
        <v>132</v>
      </c>
      <c r="C194" s="5" t="s">
        <v>941</v>
      </c>
      <c r="D194" s="5" t="s">
        <v>942</v>
      </c>
      <c r="E194" s="8" t="n">
        <f aca="false">VALUE(LEFT(D194,4))</f>
        <v>1994</v>
      </c>
      <c r="F194" s="6" t="n">
        <f aca="false">IF(LEN(D194)=10,DATE(VALUE(LEFT(D194,4)),VALUE(MID(D194,6,2)),VALUE(RIGHT(D194,2))),IF(LEN(D194)=7,DATE(VALUE(LEFT(D194,4)),VALUE(MID(D194,6,2)),15),DATE(VALUE(LEFT(D194,4)),7,1)))</f>
        <v>34516</v>
      </c>
      <c r="G194" s="6" t="n">
        <f aca="false">INDEX(Acts!$D:$D,MATCH(B194,Acts!$B:$B,0))</f>
        <v>31468</v>
      </c>
      <c r="H194" s="5" t="str">
        <f aca="false">IF(F194&gt;G194,"yes","no")</f>
        <v>yes</v>
      </c>
      <c r="I194" s="5" t="s">
        <v>230</v>
      </c>
      <c r="J194" s="5"/>
      <c r="K194" s="5" t="str">
        <f aca="false">IF(J194="","no","yes")</f>
        <v>no</v>
      </c>
      <c r="L194" s="5"/>
      <c r="M194" s="7" t="n">
        <f aca="false">IF(L194="",0,IF(L194="Gold",0.5,IF(L194="Platinum",1,IF(L194="Diamond",10,IF(ISNUMBER(FIND("×",L194)),VALUE(LEFT(L194,FIND("×",L194)-1)),0)))))</f>
        <v>0</v>
      </c>
      <c r="N194" s="5" t="s">
        <v>930</v>
      </c>
      <c r="O194" s="5" t="s">
        <v>939</v>
      </c>
    </row>
    <row r="195" customFormat="false" ht="15" hidden="false" customHeight="false" outlineLevel="0" collapsed="false">
      <c r="A195" s="5" t="s">
        <v>943</v>
      </c>
      <c r="B195" s="5" t="s">
        <v>132</v>
      </c>
      <c r="C195" s="5" t="s">
        <v>944</v>
      </c>
      <c r="D195" s="5" t="s">
        <v>945</v>
      </c>
      <c r="E195" s="8" t="n">
        <f aca="false">VALUE(LEFT(D195,4))</f>
        <v>1997</v>
      </c>
      <c r="F195" s="6" t="n">
        <f aca="false">IF(LEN(D195)=10,DATE(VALUE(LEFT(D195,4)),VALUE(MID(D195,6,2)),VALUE(RIGHT(D195,2))),IF(LEN(D195)=7,DATE(VALUE(LEFT(D195,4)),VALUE(MID(D195,6,2)),15),DATE(VALUE(LEFT(D195,4)),7,1)))</f>
        <v>35612</v>
      </c>
      <c r="G195" s="6" t="n">
        <f aca="false">INDEX(Acts!$D:$D,MATCH(B195,Acts!$B:$B,0))</f>
        <v>31468</v>
      </c>
      <c r="H195" s="5" t="str">
        <f aca="false">IF(F195&gt;G195,"yes","no")</f>
        <v>yes</v>
      </c>
      <c r="I195" s="5" t="s">
        <v>230</v>
      </c>
      <c r="J195" s="5"/>
      <c r="K195" s="5" t="str">
        <f aca="false">IF(J195="","no","yes")</f>
        <v>no</v>
      </c>
      <c r="L195" s="5"/>
      <c r="M195" s="7" t="n">
        <f aca="false">IF(L195="",0,IF(L195="Gold",0.5,IF(L195="Platinum",1,IF(L195="Diamond",10,IF(ISNUMBER(FIND("×",L195)),VALUE(LEFT(L195,FIND("×",L195)-1)),0)))))</f>
        <v>0</v>
      </c>
      <c r="N195" s="5" t="s">
        <v>946</v>
      </c>
      <c r="O195" s="5" t="s">
        <v>947</v>
      </c>
    </row>
    <row r="196" customFormat="false" ht="15" hidden="false" customHeight="false" outlineLevel="0" collapsed="false">
      <c r="A196" s="5" t="s">
        <v>948</v>
      </c>
      <c r="B196" s="5" t="s">
        <v>135</v>
      </c>
      <c r="C196" s="5" t="s">
        <v>949</v>
      </c>
      <c r="D196" s="5" t="s">
        <v>950</v>
      </c>
      <c r="E196" s="8" t="n">
        <f aca="false">VALUE(LEFT(D196,4))</f>
        <v>1979</v>
      </c>
      <c r="F196" s="6" t="n">
        <f aca="false">IF(LEN(D196)=10,DATE(VALUE(LEFT(D196,4)),VALUE(MID(D196,6,2)),VALUE(RIGHT(D196,2))),IF(LEN(D196)=7,DATE(VALUE(LEFT(D196,4)),VALUE(MID(D196,6,2)),15),DATE(VALUE(LEFT(D196,4)),7,1)))</f>
        <v>29007</v>
      </c>
      <c r="G196" s="6" t="n">
        <f aca="false">INDEX(Acts!$D:$D,MATCH(B196,Acts!$B:$B,0))</f>
        <v>29278</v>
      </c>
      <c r="H196" s="5" t="str">
        <f aca="false">IF(F196&gt;G196,"yes","no")</f>
        <v>no</v>
      </c>
      <c r="I196" s="5" t="s">
        <v>218</v>
      </c>
      <c r="J196" s="5" t="n">
        <v>1</v>
      </c>
      <c r="K196" s="5" t="str">
        <f aca="false">IF(J196="","no","yes")</f>
        <v>yes</v>
      </c>
      <c r="L196" s="5" t="s">
        <v>510</v>
      </c>
      <c r="M196" s="7" t="n">
        <f aca="false">IF(L196="",0,IF(L196="Gold",0.5,IF(L196="Platinum",1,IF(L196="Diamond",10,IF(ISNUMBER(FIND("×",L196)),VALUE(LEFT(L196,FIND("×",L196)-1)),0)))))</f>
        <v>2</v>
      </c>
      <c r="N196" s="5" t="s">
        <v>951</v>
      </c>
      <c r="O196" s="5"/>
    </row>
    <row r="197" customFormat="false" ht="15" hidden="false" customHeight="false" outlineLevel="0" collapsed="false">
      <c r="A197" s="5" t="s">
        <v>952</v>
      </c>
      <c r="B197" s="5" t="s">
        <v>135</v>
      </c>
      <c r="C197" s="5" t="s">
        <v>953</v>
      </c>
      <c r="D197" s="5" t="s">
        <v>954</v>
      </c>
      <c r="E197" s="8" t="n">
        <f aca="false">VALUE(LEFT(D197,4))</f>
        <v>1980</v>
      </c>
      <c r="F197" s="6" t="n">
        <f aca="false">IF(LEN(D197)=10,DATE(VALUE(LEFT(D197,4)),VALUE(MID(D197,6,2)),VALUE(RIGHT(D197,2))),IF(LEN(D197)=7,DATE(VALUE(LEFT(D197,4)),VALUE(MID(D197,6,2)),15),DATE(VALUE(LEFT(D197,4)),7,1)))</f>
        <v>29266</v>
      </c>
      <c r="G197" s="6" t="n">
        <f aca="false">INDEX(Acts!$D:$D,MATCH(B197,Acts!$B:$B,0))</f>
        <v>29278</v>
      </c>
      <c r="H197" s="5" t="str">
        <f aca="false">IF(F197&gt;G197,"yes","no")</f>
        <v>no</v>
      </c>
      <c r="I197" s="5" t="s">
        <v>218</v>
      </c>
      <c r="J197" s="5" t="n">
        <v>15</v>
      </c>
      <c r="K197" s="5" t="str">
        <f aca="false">IF(J197="","no","yes")</f>
        <v>yes</v>
      </c>
      <c r="L197" s="5" t="s">
        <v>271</v>
      </c>
      <c r="M197" s="7" t="n">
        <f aca="false">IF(L197="",0,IF(L197="Gold",0.5,IF(L197="Platinum",1,IF(L197="Diamond",10,IF(ISNUMBER(FIND("×",L197)),VALUE(LEFT(L197,FIND("×",L197)-1)),0)))))</f>
        <v>0.5</v>
      </c>
      <c r="N197" s="5" t="s">
        <v>951</v>
      </c>
      <c r="O197" s="5"/>
    </row>
    <row r="198" customFormat="false" ht="15" hidden="false" customHeight="false" outlineLevel="0" collapsed="false">
      <c r="A198" s="5" t="s">
        <v>955</v>
      </c>
      <c r="B198" s="5" t="s">
        <v>135</v>
      </c>
      <c r="C198" s="5" t="s">
        <v>956</v>
      </c>
      <c r="D198" s="5" t="s">
        <v>957</v>
      </c>
      <c r="E198" s="8" t="n">
        <f aca="false">VALUE(LEFT(D198,4))</f>
        <v>1981</v>
      </c>
      <c r="F198" s="6" t="n">
        <f aca="false">IF(LEN(D198)=10,DATE(VALUE(LEFT(D198,4)),VALUE(MID(D198,6,2)),VALUE(RIGHT(D198,2))),IF(LEN(D198)=7,DATE(VALUE(LEFT(D198,4)),VALUE(MID(D198,6,2)),15),DATE(VALUE(LEFT(D198,4)),7,1)))</f>
        <v>29874</v>
      </c>
      <c r="G198" s="6" t="n">
        <f aca="false">INDEX(Acts!$D:$D,MATCH(B198,Acts!$B:$B,0))</f>
        <v>29278</v>
      </c>
      <c r="H198" s="5" t="str">
        <f aca="false">IF(F198&gt;G198,"yes","no")</f>
        <v>yes</v>
      </c>
      <c r="I198" s="5" t="s">
        <v>218</v>
      </c>
      <c r="J198" s="5" t="n">
        <v>93</v>
      </c>
      <c r="K198" s="5" t="str">
        <f aca="false">IF(J198="","no","yes")</f>
        <v>yes</v>
      </c>
      <c r="L198" s="5"/>
      <c r="M198" s="7" t="n">
        <f aca="false">IF(L198="",0,IF(L198="Gold",0.5,IF(L198="Platinum",1,IF(L198="Diamond",10,IF(ISNUMBER(FIND("×",L198)),VALUE(LEFT(L198,FIND("×",L198)-1)),0)))))</f>
        <v>0</v>
      </c>
      <c r="N198" s="5" t="s">
        <v>951</v>
      </c>
      <c r="O198" s="5"/>
    </row>
    <row r="199" customFormat="false" ht="15" hidden="false" customHeight="false" outlineLevel="0" collapsed="false">
      <c r="A199" s="5" t="s">
        <v>958</v>
      </c>
      <c r="B199" s="5" t="s">
        <v>135</v>
      </c>
      <c r="C199" s="5" t="s">
        <v>959</v>
      </c>
      <c r="D199" s="5" t="s">
        <v>960</v>
      </c>
      <c r="E199" s="8" t="n">
        <f aca="false">VALUE(LEFT(D199,4))</f>
        <v>1991</v>
      </c>
      <c r="F199" s="6" t="n">
        <f aca="false">IF(LEN(D199)=10,DATE(VALUE(LEFT(D199,4)),VALUE(MID(D199,6,2)),VALUE(RIGHT(D199,2))),IF(LEN(D199)=7,DATE(VALUE(LEFT(D199,4)),VALUE(MID(D199,6,2)),15),DATE(VALUE(LEFT(D199,4)),7,1)))</f>
        <v>33253</v>
      </c>
      <c r="G199" s="6" t="n">
        <f aca="false">INDEX(Acts!$D:$D,MATCH(B199,Acts!$B:$B,0))</f>
        <v>29278</v>
      </c>
      <c r="H199" s="5" t="str">
        <f aca="false">IF(F199&gt;G199,"yes","no")</f>
        <v>yes</v>
      </c>
      <c r="I199" s="5" t="s">
        <v>230</v>
      </c>
      <c r="J199" s="5"/>
      <c r="K199" s="5" t="str">
        <f aca="false">IF(J199="","no","yes")</f>
        <v>no</v>
      </c>
      <c r="L199" s="5"/>
      <c r="M199" s="7" t="n">
        <f aca="false">IF(L199="",0,IF(L199="Gold",0.5,IF(L199="Platinum",1,IF(L199="Diamond",10,IF(ISNUMBER(FIND("×",L199)),VALUE(LEFT(L199,FIND("×",L199)-1)),0)))))</f>
        <v>0</v>
      </c>
      <c r="N199" s="5" t="s">
        <v>951</v>
      </c>
      <c r="O199" s="5" t="s">
        <v>961</v>
      </c>
    </row>
    <row r="200" customFormat="false" ht="15" hidden="false" customHeight="false" outlineLevel="0" collapsed="false">
      <c r="A200" s="5" t="s">
        <v>962</v>
      </c>
      <c r="B200" s="5" t="s">
        <v>135</v>
      </c>
      <c r="C200" s="5" t="s">
        <v>963</v>
      </c>
      <c r="D200" s="5" t="s">
        <v>964</v>
      </c>
      <c r="E200" s="8" t="n">
        <f aca="false">VALUE(LEFT(D200,4))</f>
        <v>1998</v>
      </c>
      <c r="F200" s="6" t="n">
        <f aca="false">IF(LEN(D200)=10,DATE(VALUE(LEFT(D200,4)),VALUE(MID(D200,6,2)),VALUE(RIGHT(D200,2))),IF(LEN(D200)=7,DATE(VALUE(LEFT(D200,4)),VALUE(MID(D200,6,2)),15),DATE(VALUE(LEFT(D200,4)),7,1)))</f>
        <v>35990</v>
      </c>
      <c r="G200" s="6" t="n">
        <f aca="false">INDEX(Acts!$D:$D,MATCH(B200,Acts!$B:$B,0))</f>
        <v>29278</v>
      </c>
      <c r="H200" s="5" t="str">
        <f aca="false">IF(F200&gt;G200,"yes","no")</f>
        <v>yes</v>
      </c>
      <c r="I200" s="5" t="s">
        <v>230</v>
      </c>
      <c r="J200" s="5"/>
      <c r="K200" s="5" t="str">
        <f aca="false">IF(J200="","no","yes")</f>
        <v>no</v>
      </c>
      <c r="L200" s="5"/>
      <c r="M200" s="7" t="n">
        <f aca="false">IF(L200="",0,IF(L200="Gold",0.5,IF(L200="Platinum",1,IF(L200="Diamond",10,IF(ISNUMBER(FIND("×",L200)),VALUE(LEFT(L200,FIND("×",L200)-1)),0)))))</f>
        <v>0</v>
      </c>
      <c r="N200" s="5" t="s">
        <v>951</v>
      </c>
      <c r="O200" s="5" t="s">
        <v>965</v>
      </c>
    </row>
    <row r="201" customFormat="false" ht="15" hidden="false" customHeight="false" outlineLevel="0" collapsed="false">
      <c r="A201" s="5" t="s">
        <v>966</v>
      </c>
      <c r="B201" s="5" t="s">
        <v>135</v>
      </c>
      <c r="C201" s="5" t="s">
        <v>967</v>
      </c>
      <c r="D201" s="5" t="s">
        <v>968</v>
      </c>
      <c r="E201" s="8" t="n">
        <f aca="false">VALUE(LEFT(D201,4))</f>
        <v>2001</v>
      </c>
      <c r="F201" s="6" t="n">
        <f aca="false">IF(LEN(D201)=10,DATE(VALUE(LEFT(D201,4)),VALUE(MID(D201,6,2)),VALUE(RIGHT(D201,2))),IF(LEN(D201)=7,DATE(VALUE(LEFT(D201,4)),VALUE(MID(D201,6,2)),15),DATE(VALUE(LEFT(D201,4)),7,1)))</f>
        <v>37159</v>
      </c>
      <c r="G201" s="6" t="n">
        <f aca="false">INDEX(Acts!$D:$D,MATCH(B201,Acts!$B:$B,0))</f>
        <v>29278</v>
      </c>
      <c r="H201" s="5" t="str">
        <f aca="false">IF(F201&gt;G201,"yes","no")</f>
        <v>yes</v>
      </c>
      <c r="I201" s="5" t="s">
        <v>230</v>
      </c>
      <c r="J201" s="5"/>
      <c r="K201" s="5" t="str">
        <f aca="false">IF(J201="","no","yes")</f>
        <v>no</v>
      </c>
      <c r="L201" s="5"/>
      <c r="M201" s="7" t="n">
        <f aca="false">IF(L201="",0,IF(L201="Gold",0.5,IF(L201="Platinum",1,IF(L201="Diamond",10,IF(ISNUMBER(FIND("×",L201)),VALUE(LEFT(L201,FIND("×",L201)-1)),0)))))</f>
        <v>0</v>
      </c>
      <c r="N201" s="5" t="s">
        <v>951</v>
      </c>
      <c r="O201" s="5" t="s">
        <v>969</v>
      </c>
    </row>
    <row r="202" customFormat="false" ht="15" hidden="false" customHeight="false" outlineLevel="0" collapsed="false">
      <c r="A202" s="5" t="s">
        <v>970</v>
      </c>
      <c r="B202" s="5" t="s">
        <v>138</v>
      </c>
      <c r="C202" s="5" t="s">
        <v>971</v>
      </c>
      <c r="D202" s="5" t="s">
        <v>972</v>
      </c>
      <c r="E202" s="8" t="n">
        <f aca="false">VALUE(LEFT(D202,4))</f>
        <v>1981</v>
      </c>
      <c r="F202" s="6" t="n">
        <f aca="false">IF(LEN(D202)=10,DATE(VALUE(LEFT(D202,4)),VALUE(MID(D202,6,2)),VALUE(RIGHT(D202,2))),IF(LEN(D202)=7,DATE(VALUE(LEFT(D202,4)),VALUE(MID(D202,6,2)),15),DATE(VALUE(LEFT(D202,4)),7,1)))</f>
        <v>29810</v>
      </c>
      <c r="G202" s="6" t="n">
        <f aca="false">INDEX(Acts!$D:$D,MATCH(B202,Acts!$B:$B,0))</f>
        <v>30006</v>
      </c>
      <c r="H202" s="5" t="str">
        <f aca="false">IF(F202&gt;G202,"yes","no")</f>
        <v>no</v>
      </c>
      <c r="I202" s="5" t="s">
        <v>218</v>
      </c>
      <c r="J202" s="5" t="n">
        <v>19</v>
      </c>
      <c r="K202" s="5" t="str">
        <f aca="false">IF(J202="","no","yes")</f>
        <v>yes</v>
      </c>
      <c r="L202" s="5" t="s">
        <v>510</v>
      </c>
      <c r="M202" s="7" t="n">
        <f aca="false">IF(L202="",0,IF(L202="Gold",0.5,IF(L202="Platinum",1,IF(L202="Diamond",10,IF(ISNUMBER(FIND("×",L202)),VALUE(LEFT(L202,FIND("×",L202)-1)),0)))))</f>
        <v>2</v>
      </c>
      <c r="N202" s="5" t="s">
        <v>973</v>
      </c>
      <c r="O202" s="5"/>
    </row>
    <row r="203" customFormat="false" ht="15" hidden="false" customHeight="false" outlineLevel="0" collapsed="false">
      <c r="A203" s="5" t="s">
        <v>974</v>
      </c>
      <c r="B203" s="5" t="s">
        <v>138</v>
      </c>
      <c r="C203" s="5" t="s">
        <v>975</v>
      </c>
      <c r="D203" s="5" t="s">
        <v>976</v>
      </c>
      <c r="E203" s="8" t="n">
        <f aca="false">VALUE(LEFT(D203,4))</f>
        <v>1982</v>
      </c>
      <c r="F203" s="6" t="n">
        <f aca="false">IF(LEN(D203)=10,DATE(VALUE(LEFT(D203,4)),VALUE(MID(D203,6,2)),VALUE(RIGHT(D203,2))),IF(LEN(D203)=7,DATE(VALUE(LEFT(D203,4)),VALUE(MID(D203,6,2)),15),DATE(VALUE(LEFT(D203,4)),7,1)))</f>
        <v>30215</v>
      </c>
      <c r="G203" s="6" t="n">
        <f aca="false">INDEX(Acts!$D:$D,MATCH(B203,Acts!$B:$B,0))</f>
        <v>30006</v>
      </c>
      <c r="H203" s="5" t="str">
        <f aca="false">IF(F203&gt;G203,"yes","no")</f>
        <v>yes</v>
      </c>
      <c r="I203" s="5" t="s">
        <v>218</v>
      </c>
      <c r="J203" s="5" t="n">
        <v>20</v>
      </c>
      <c r="K203" s="5" t="str">
        <f aca="false">IF(J203="","no","yes")</f>
        <v>yes</v>
      </c>
      <c r="L203" s="5" t="s">
        <v>219</v>
      </c>
      <c r="M203" s="7" t="n">
        <f aca="false">IF(L203="",0,IF(L203="Gold",0.5,IF(L203="Platinum",1,IF(L203="Diamond",10,IF(ISNUMBER(FIND("×",L203)),VALUE(LEFT(L203,FIND("×",L203)-1)),0)))))</f>
        <v>1</v>
      </c>
      <c r="N203" s="5" t="s">
        <v>973</v>
      </c>
      <c r="O203" s="5"/>
    </row>
    <row r="204" customFormat="false" ht="15" hidden="false" customHeight="false" outlineLevel="0" collapsed="false">
      <c r="A204" s="5" t="s">
        <v>977</v>
      </c>
      <c r="B204" s="5" t="s">
        <v>138</v>
      </c>
      <c r="C204" s="5" t="s">
        <v>978</v>
      </c>
      <c r="D204" s="5" t="s">
        <v>979</v>
      </c>
      <c r="E204" s="8" t="n">
        <f aca="false">VALUE(LEFT(D204,4))</f>
        <v>1983</v>
      </c>
      <c r="F204" s="6" t="n">
        <f aca="false">IF(LEN(D204)=10,DATE(VALUE(LEFT(D204,4)),VALUE(MID(D204,6,2)),VALUE(RIGHT(D204,2))),IF(LEN(D204)=7,DATE(VALUE(LEFT(D204,4)),VALUE(MID(D204,6,2)),15),DATE(VALUE(LEFT(D204,4)),7,1)))</f>
        <v>30645</v>
      </c>
      <c r="G204" s="6" t="n">
        <f aca="false">INDEX(Acts!$D:$D,MATCH(B204,Acts!$B:$B,0))</f>
        <v>30006</v>
      </c>
      <c r="H204" s="5" t="str">
        <f aca="false">IF(F204&gt;G204,"yes","no")</f>
        <v>yes</v>
      </c>
      <c r="I204" s="5" t="s">
        <v>218</v>
      </c>
      <c r="J204" s="5" t="n">
        <v>32</v>
      </c>
      <c r="K204" s="5" t="str">
        <f aca="false">IF(J204="","no","yes")</f>
        <v>yes</v>
      </c>
      <c r="L204" s="5" t="s">
        <v>219</v>
      </c>
      <c r="M204" s="7" t="n">
        <f aca="false">IF(L204="",0,IF(L204="Gold",0.5,IF(L204="Platinum",1,IF(L204="Diamond",10,IF(ISNUMBER(FIND("×",L204)),VALUE(LEFT(L204,FIND("×",L204)-1)),0)))))</f>
        <v>1</v>
      </c>
      <c r="N204" s="5" t="s">
        <v>973</v>
      </c>
      <c r="O204" s="5"/>
    </row>
    <row r="205" customFormat="false" ht="15" hidden="false" customHeight="false" outlineLevel="0" collapsed="false">
      <c r="A205" s="5" t="s">
        <v>980</v>
      </c>
      <c r="B205" s="5" t="s">
        <v>138</v>
      </c>
      <c r="C205" s="5" t="s">
        <v>981</v>
      </c>
      <c r="D205" s="5" t="s">
        <v>982</v>
      </c>
      <c r="E205" s="8" t="n">
        <f aca="false">VALUE(LEFT(D205,4))</f>
        <v>1985</v>
      </c>
      <c r="F205" s="6" t="n">
        <f aca="false">IF(LEN(D205)=10,DATE(VALUE(LEFT(D205,4)),VALUE(MID(D205,6,2)),VALUE(RIGHT(D205,2))),IF(LEN(D205)=7,DATE(VALUE(LEFT(D205,4)),VALUE(MID(D205,6,2)),15),DATE(VALUE(LEFT(D205,4)),7,1)))</f>
        <v>31114</v>
      </c>
      <c r="G205" s="6" t="n">
        <f aca="false">INDEX(Acts!$D:$D,MATCH(B205,Acts!$B:$B,0))</f>
        <v>30006</v>
      </c>
      <c r="H205" s="5" t="str">
        <f aca="false">IF(F205&gt;G205,"yes","no")</f>
        <v>yes</v>
      </c>
      <c r="I205" s="5" t="s">
        <v>218</v>
      </c>
      <c r="J205" s="5" t="n">
        <v>19</v>
      </c>
      <c r="K205" s="5" t="str">
        <f aca="false">IF(J205="","no","yes")</f>
        <v>yes</v>
      </c>
      <c r="L205" s="5" t="s">
        <v>510</v>
      </c>
      <c r="M205" s="7" t="n">
        <f aca="false">IF(L205="",0,IF(L205="Gold",0.5,IF(L205="Platinum",1,IF(L205="Diamond",10,IF(ISNUMBER(FIND("×",L205)),VALUE(LEFT(L205,FIND("×",L205)-1)),0)))))</f>
        <v>2</v>
      </c>
      <c r="N205" s="5" t="s">
        <v>973</v>
      </c>
      <c r="O205" s="5"/>
    </row>
    <row r="206" customFormat="false" ht="15" hidden="false" customHeight="false" outlineLevel="0" collapsed="false">
      <c r="A206" s="5" t="s">
        <v>983</v>
      </c>
      <c r="B206" s="5" t="s">
        <v>138</v>
      </c>
      <c r="C206" s="5" t="s">
        <v>984</v>
      </c>
      <c r="D206" s="5" t="s">
        <v>985</v>
      </c>
      <c r="E206" s="8" t="n">
        <f aca="false">VALUE(LEFT(D206,4))</f>
        <v>1986</v>
      </c>
      <c r="F206" s="6" t="n">
        <f aca="false">IF(LEN(D206)=10,DATE(VALUE(LEFT(D206,4)),VALUE(MID(D206,6,2)),VALUE(RIGHT(D206,2))),IF(LEN(D206)=7,DATE(VALUE(LEFT(D206,4)),VALUE(MID(D206,6,2)),15),DATE(VALUE(LEFT(D206,4)),7,1)))</f>
        <v>31670</v>
      </c>
      <c r="G206" s="6" t="n">
        <f aca="false">INDEX(Acts!$D:$D,MATCH(B206,Acts!$B:$B,0))</f>
        <v>30006</v>
      </c>
      <c r="H206" s="5" t="str">
        <f aca="false">IF(F206&gt;G206,"yes","no")</f>
        <v>yes</v>
      </c>
      <c r="I206" s="5" t="s">
        <v>218</v>
      </c>
      <c r="J206" s="5" t="n">
        <v>14</v>
      </c>
      <c r="K206" s="5" t="str">
        <f aca="false">IF(J206="","no","yes")</f>
        <v>yes</v>
      </c>
      <c r="L206" s="5" t="s">
        <v>510</v>
      </c>
      <c r="M206" s="7" t="n">
        <f aca="false">IF(L206="",0,IF(L206="Gold",0.5,IF(L206="Platinum",1,IF(L206="Diamond",10,IF(ISNUMBER(FIND("×",L206)),VALUE(LEFT(L206,FIND("×",L206)-1)),0)))))</f>
        <v>2</v>
      </c>
      <c r="N206" s="5" t="s">
        <v>973</v>
      </c>
      <c r="O206" s="5"/>
    </row>
    <row r="207" customFormat="false" ht="15" hidden="false" customHeight="false" outlineLevel="0" collapsed="false">
      <c r="A207" s="5" t="s">
        <v>986</v>
      </c>
      <c r="B207" s="5" t="s">
        <v>138</v>
      </c>
      <c r="C207" s="5" t="s">
        <v>987</v>
      </c>
      <c r="D207" s="5" t="s">
        <v>988</v>
      </c>
      <c r="E207" s="8" t="n">
        <f aca="false">VALUE(LEFT(D207,4))</f>
        <v>1988</v>
      </c>
      <c r="F207" s="6" t="n">
        <f aca="false">IF(LEN(D207)=10,DATE(VALUE(LEFT(D207,4)),VALUE(MID(D207,6,2)),VALUE(RIGHT(D207,2))),IF(LEN(D207)=7,DATE(VALUE(LEFT(D207,4)),VALUE(MID(D207,6,2)),15),DATE(VALUE(LEFT(D207,4)),7,1)))</f>
        <v>32406</v>
      </c>
      <c r="G207" s="6" t="n">
        <f aca="false">INDEX(Acts!$D:$D,MATCH(B207,Acts!$B:$B,0))</f>
        <v>30006</v>
      </c>
      <c r="H207" s="5" t="str">
        <f aca="false">IF(F207&gt;G207,"yes","no")</f>
        <v>yes</v>
      </c>
      <c r="I207" s="5" t="s">
        <v>218</v>
      </c>
      <c r="J207" s="5" t="n">
        <v>9</v>
      </c>
      <c r="K207" s="5" t="str">
        <f aca="false">IF(J207="","no","yes")</f>
        <v>yes</v>
      </c>
      <c r="L207" s="5" t="s">
        <v>219</v>
      </c>
      <c r="M207" s="7" t="n">
        <f aca="false">IF(L207="",0,IF(L207="Gold",0.5,IF(L207="Platinum",1,IF(L207="Diamond",10,IF(ISNUMBER(FIND("×",L207)),VALUE(LEFT(L207,FIND("×",L207)-1)),0)))))</f>
        <v>1</v>
      </c>
      <c r="N207" s="5" t="s">
        <v>973</v>
      </c>
      <c r="O207" s="5"/>
    </row>
    <row r="208" customFormat="false" ht="15" hidden="false" customHeight="false" outlineLevel="0" collapsed="false">
      <c r="A208" s="5" t="s">
        <v>989</v>
      </c>
      <c r="B208" s="5" t="s">
        <v>138</v>
      </c>
      <c r="C208" s="5" t="s">
        <v>990</v>
      </c>
      <c r="D208" s="5" t="s">
        <v>991</v>
      </c>
      <c r="E208" s="8" t="n">
        <f aca="false">VALUE(LEFT(D208,4))</f>
        <v>1991</v>
      </c>
      <c r="F208" s="6" t="n">
        <f aca="false">IF(LEN(D208)=10,DATE(VALUE(LEFT(D208,4)),VALUE(MID(D208,6,2)),VALUE(RIGHT(D208,2))),IF(LEN(D208)=7,DATE(VALUE(LEFT(D208,4)),VALUE(MID(D208,6,2)),15),DATE(VALUE(LEFT(D208,4)),7,1)))</f>
        <v>33354</v>
      </c>
      <c r="G208" s="6" t="n">
        <f aca="false">INDEX(Acts!$D:$D,MATCH(B208,Acts!$B:$B,0))</f>
        <v>30006</v>
      </c>
      <c r="H208" s="5" t="str">
        <f aca="false">IF(F208&gt;G208,"yes","no")</f>
        <v>yes</v>
      </c>
      <c r="I208" s="5" t="s">
        <v>218</v>
      </c>
      <c r="J208" s="5" t="n">
        <v>7</v>
      </c>
      <c r="K208" s="5" t="str">
        <f aca="false">IF(J208="","no","yes")</f>
        <v>yes</v>
      </c>
      <c r="L208" s="5" t="s">
        <v>510</v>
      </c>
      <c r="M208" s="7" t="n">
        <f aca="false">IF(L208="",0,IF(L208="Gold",0.5,IF(L208="Platinum",1,IF(L208="Diamond",10,IF(ISNUMBER(FIND("×",L208)),VALUE(LEFT(L208,FIND("×",L208)-1)),0)))))</f>
        <v>2</v>
      </c>
      <c r="N208" s="5" t="s">
        <v>973</v>
      </c>
      <c r="O208" s="5"/>
    </row>
    <row r="209" customFormat="false" ht="15" hidden="false" customHeight="false" outlineLevel="0" collapsed="false">
      <c r="A209" s="5" t="s">
        <v>992</v>
      </c>
      <c r="B209" s="5" t="s">
        <v>138</v>
      </c>
      <c r="C209" s="5" t="s">
        <v>993</v>
      </c>
      <c r="D209" s="5" t="s">
        <v>994</v>
      </c>
      <c r="E209" s="8" t="n">
        <f aca="false">VALUE(LEFT(D209,4))</f>
        <v>1993</v>
      </c>
      <c r="F209" s="6" t="n">
        <f aca="false">IF(LEN(D209)=10,DATE(VALUE(LEFT(D209,4)),VALUE(MID(D209,6,2)),VALUE(RIGHT(D209,2))),IF(LEN(D209)=7,DATE(VALUE(LEFT(D209,4)),VALUE(MID(D209,6,2)),15),DATE(VALUE(LEFT(D209,4)),7,1)))</f>
        <v>34115</v>
      </c>
      <c r="G209" s="6" t="n">
        <f aca="false">INDEX(Acts!$D:$D,MATCH(B209,Acts!$B:$B,0))</f>
        <v>30006</v>
      </c>
      <c r="H209" s="5" t="str">
        <f aca="false">IF(F209&gt;G209,"yes","no")</f>
        <v>yes</v>
      </c>
      <c r="I209" s="5" t="s">
        <v>218</v>
      </c>
      <c r="J209" s="5" t="n">
        <v>6</v>
      </c>
      <c r="K209" s="5" t="str">
        <f aca="false">IF(J209="","no","yes")</f>
        <v>yes</v>
      </c>
      <c r="L209" s="5" t="s">
        <v>219</v>
      </c>
      <c r="M209" s="7" t="n">
        <f aca="false">IF(L209="",0,IF(L209="Gold",0.5,IF(L209="Platinum",1,IF(L209="Diamond",10,IF(ISNUMBER(FIND("×",L209)),VALUE(LEFT(L209,FIND("×",L209)-1)),0)))))</f>
        <v>1</v>
      </c>
      <c r="N209" s="5" t="s">
        <v>973</v>
      </c>
      <c r="O209" s="5"/>
    </row>
    <row r="210" customFormat="false" ht="15" hidden="false" customHeight="false" outlineLevel="0" collapsed="false">
      <c r="A210" s="5" t="s">
        <v>995</v>
      </c>
      <c r="B210" s="5" t="s">
        <v>138</v>
      </c>
      <c r="C210" s="5" t="s">
        <v>996</v>
      </c>
      <c r="D210" s="5" t="s">
        <v>997</v>
      </c>
      <c r="E210" s="8" t="n">
        <f aca="false">VALUE(LEFT(D210,4))</f>
        <v>1994</v>
      </c>
      <c r="F210" s="6" t="n">
        <f aca="false">IF(LEN(D210)=10,DATE(VALUE(LEFT(D210,4)),VALUE(MID(D210,6,2)),VALUE(RIGHT(D210,2))),IF(LEN(D210)=7,DATE(VALUE(LEFT(D210,4)),VALUE(MID(D210,6,2)),15),DATE(VALUE(LEFT(D210,4)),7,1)))</f>
        <v>34597</v>
      </c>
      <c r="G210" s="6" t="n">
        <f aca="false">INDEX(Acts!$D:$D,MATCH(B210,Acts!$B:$B,0))</f>
        <v>30006</v>
      </c>
      <c r="H210" s="5" t="str">
        <f aca="false">IF(F210&gt;G210,"yes","no")</f>
        <v>yes</v>
      </c>
      <c r="I210" s="5" t="s">
        <v>218</v>
      </c>
      <c r="J210" s="5" t="n">
        <v>5</v>
      </c>
      <c r="K210" s="5" t="str">
        <f aca="false">IF(J210="","no","yes")</f>
        <v>yes</v>
      </c>
      <c r="L210" s="5" t="s">
        <v>510</v>
      </c>
      <c r="M210" s="7" t="n">
        <f aca="false">IF(L210="",0,IF(L210="Gold",0.5,IF(L210="Platinum",1,IF(L210="Diamond",10,IF(ISNUMBER(FIND("×",L210)),VALUE(LEFT(L210,FIND("×",L210)-1)),0)))))</f>
        <v>2</v>
      </c>
      <c r="N210" s="5" t="s">
        <v>973</v>
      </c>
      <c r="O210" s="5"/>
    </row>
    <row r="211" customFormat="false" ht="15" hidden="false" customHeight="false" outlineLevel="0" collapsed="false">
      <c r="A211" s="5" t="s">
        <v>998</v>
      </c>
      <c r="B211" s="5" t="s">
        <v>138</v>
      </c>
      <c r="C211" s="5" t="s">
        <v>999</v>
      </c>
      <c r="D211" s="5" t="s">
        <v>1000</v>
      </c>
      <c r="E211" s="8" t="n">
        <f aca="false">VALUE(LEFT(D211,4))</f>
        <v>1995</v>
      </c>
      <c r="F211" s="6" t="n">
        <f aca="false">IF(LEN(D211)=10,DATE(VALUE(LEFT(D211,4)),VALUE(MID(D211,6,2)),VALUE(RIGHT(D211,2))),IF(LEN(D211)=7,DATE(VALUE(LEFT(D211,4)),VALUE(MID(D211,6,2)),15),DATE(VALUE(LEFT(D211,4)),7,1)))</f>
        <v>34990</v>
      </c>
      <c r="G211" s="6" t="n">
        <f aca="false">INDEX(Acts!$D:$D,MATCH(B211,Acts!$B:$B,0))</f>
        <v>30006</v>
      </c>
      <c r="H211" s="5" t="str">
        <f aca="false">IF(F211&gt;G211,"yes","no")</f>
        <v>yes</v>
      </c>
      <c r="I211" s="5" t="s">
        <v>218</v>
      </c>
      <c r="J211" s="5" t="n">
        <v>28</v>
      </c>
      <c r="K211" s="5" t="str">
        <f aca="false">IF(J211="","no","yes")</f>
        <v>yes</v>
      </c>
      <c r="L211" s="5" t="s">
        <v>219</v>
      </c>
      <c r="M211" s="7" t="n">
        <f aca="false">IF(L211="",0,IF(L211="Gold",0.5,IF(L211="Platinum",1,IF(L211="Diamond",10,IF(ISNUMBER(FIND("×",L211)),VALUE(LEFT(L211,FIND("×",L211)-1)),0)))))</f>
        <v>1</v>
      </c>
      <c r="N211" s="5" t="s">
        <v>973</v>
      </c>
      <c r="O211" s="5" t="s">
        <v>1001</v>
      </c>
    </row>
    <row r="212" customFormat="false" ht="15" hidden="false" customHeight="false" outlineLevel="0" collapsed="false">
      <c r="A212" s="5" t="s">
        <v>1002</v>
      </c>
      <c r="B212" s="5" t="s">
        <v>138</v>
      </c>
      <c r="C212" s="5" t="s">
        <v>1003</v>
      </c>
      <c r="D212" s="5" t="s">
        <v>1004</v>
      </c>
      <c r="E212" s="8" t="n">
        <f aca="false">VALUE(LEFT(D212,4))</f>
        <v>1996</v>
      </c>
      <c r="F212" s="6" t="n">
        <f aca="false">IF(LEN(D212)=10,DATE(VALUE(LEFT(D212,4)),VALUE(MID(D212,6,2)),VALUE(RIGHT(D212,2))),IF(LEN(D212)=7,DATE(VALUE(LEFT(D212,4)),VALUE(MID(D212,6,2)),15),DATE(VALUE(LEFT(D212,4)),7,1)))</f>
        <v>35339</v>
      </c>
      <c r="G212" s="6" t="n">
        <f aca="false">INDEX(Acts!$D:$D,MATCH(B212,Acts!$B:$B,0))</f>
        <v>30006</v>
      </c>
      <c r="H212" s="5" t="str">
        <f aca="false">IF(F212&gt;G212,"yes","no")</f>
        <v>yes</v>
      </c>
      <c r="I212" s="5" t="s">
        <v>218</v>
      </c>
      <c r="J212" s="5" t="n">
        <v>9</v>
      </c>
      <c r="K212" s="5" t="str">
        <f aca="false">IF(J212="","no","yes")</f>
        <v>yes</v>
      </c>
      <c r="L212" s="5" t="s">
        <v>219</v>
      </c>
      <c r="M212" s="7" t="n">
        <f aca="false">IF(L212="",0,IF(L212="Gold",0.5,IF(L212="Platinum",1,IF(L212="Diamond",10,IF(ISNUMBER(FIND("×",L212)),VALUE(LEFT(L212,FIND("×",L212)-1)),0)))))</f>
        <v>1</v>
      </c>
      <c r="N212" s="5" t="s">
        <v>973</v>
      </c>
      <c r="O212" s="5"/>
    </row>
    <row r="213" customFormat="false" ht="15" hidden="false" customHeight="false" outlineLevel="0" collapsed="false">
      <c r="A213" s="5" t="s">
        <v>1005</v>
      </c>
      <c r="B213" s="5" t="s">
        <v>138</v>
      </c>
      <c r="C213" s="5" t="s">
        <v>1006</v>
      </c>
      <c r="D213" s="5" t="s">
        <v>1007</v>
      </c>
      <c r="E213" s="8" t="n">
        <f aca="false">VALUE(LEFT(D213,4))</f>
        <v>1998</v>
      </c>
      <c r="F213" s="6" t="n">
        <f aca="false">IF(LEN(D213)=10,DATE(VALUE(LEFT(D213,4)),VALUE(MID(D213,6,2)),VALUE(RIGHT(D213,2))),IF(LEN(D213)=7,DATE(VALUE(LEFT(D213,4)),VALUE(MID(D213,6,2)),15),DATE(VALUE(LEFT(D213,4)),7,1)))</f>
        <v>36018</v>
      </c>
      <c r="G213" s="6" t="n">
        <f aca="false">INDEX(Acts!$D:$D,MATCH(B213,Acts!$B:$B,0))</f>
        <v>30006</v>
      </c>
      <c r="H213" s="5" t="str">
        <f aca="false">IF(F213&gt;G213,"yes","no")</f>
        <v>yes</v>
      </c>
      <c r="I213" s="5" t="s">
        <v>218</v>
      </c>
      <c r="J213" s="5" t="n">
        <v>26</v>
      </c>
      <c r="K213" s="5" t="str">
        <f aca="false">IF(J213="","no","yes")</f>
        <v>yes</v>
      </c>
      <c r="L213" s="5" t="s">
        <v>271</v>
      </c>
      <c r="M213" s="7" t="n">
        <f aca="false">IF(L213="",0,IF(L213="Gold",0.5,IF(L213="Platinum",1,IF(L213="Diamond",10,IF(ISNUMBER(FIND("×",L213)),VALUE(LEFT(L213,FIND("×",L213)-1)),0)))))</f>
        <v>0.5</v>
      </c>
      <c r="N213" s="5" t="s">
        <v>973</v>
      </c>
      <c r="O213" s="5"/>
    </row>
    <row r="214" customFormat="false" ht="15" hidden="false" customHeight="false" outlineLevel="0" collapsed="false">
      <c r="A214" s="5" t="s">
        <v>1008</v>
      </c>
      <c r="B214" s="5" t="s">
        <v>138</v>
      </c>
      <c r="C214" s="5" t="s">
        <v>138</v>
      </c>
      <c r="D214" s="5" t="s">
        <v>1009</v>
      </c>
      <c r="E214" s="8" t="n">
        <f aca="false">VALUE(LEFT(D214,4))</f>
        <v>2001</v>
      </c>
      <c r="F214" s="6" t="n">
        <f aca="false">IF(LEN(D214)=10,DATE(VALUE(LEFT(D214,4)),VALUE(MID(D214,6,2)),VALUE(RIGHT(D214,2))),IF(LEN(D214)=7,DATE(VALUE(LEFT(D214,4)),VALUE(MID(D214,6,2)),15),DATE(VALUE(LEFT(D214,4)),7,1)))</f>
        <v>37061</v>
      </c>
      <c r="G214" s="6" t="n">
        <f aca="false">INDEX(Acts!$D:$D,MATCH(B214,Acts!$B:$B,0))</f>
        <v>30006</v>
      </c>
      <c r="H214" s="5" t="str">
        <f aca="false">IF(F214&gt;G214,"yes","no")</f>
        <v>yes</v>
      </c>
      <c r="I214" s="5" t="s">
        <v>218</v>
      </c>
      <c r="J214" s="5" t="n">
        <v>6</v>
      </c>
      <c r="K214" s="5" t="str">
        <f aca="false">IF(J214="","no","yes")</f>
        <v>yes</v>
      </c>
      <c r="L214" s="5" t="s">
        <v>219</v>
      </c>
      <c r="M214" s="7" t="n">
        <f aca="false">IF(L214="",0,IF(L214="Gold",0.5,IF(L214="Platinum",1,IF(L214="Diamond",10,IF(ISNUMBER(FIND("×",L214)),VALUE(LEFT(L214,FIND("×",L214)-1)),0)))))</f>
        <v>1</v>
      </c>
      <c r="N214" s="5" t="s">
        <v>973</v>
      </c>
      <c r="O214" s="5"/>
    </row>
    <row r="215" customFormat="false" ht="15" hidden="false" customHeight="false" outlineLevel="0" collapsed="false">
      <c r="A215" s="5" t="s">
        <v>1010</v>
      </c>
      <c r="B215" s="5" t="s">
        <v>138</v>
      </c>
      <c r="C215" s="5" t="s">
        <v>1011</v>
      </c>
      <c r="D215" s="5" t="s">
        <v>1012</v>
      </c>
      <c r="E215" s="8" t="n">
        <f aca="false">VALUE(LEFT(D215,4))</f>
        <v>2003</v>
      </c>
      <c r="F215" s="6" t="n">
        <f aca="false">IF(LEN(D215)=10,DATE(VALUE(LEFT(D215,4)),VALUE(MID(D215,6,2)),VALUE(RIGHT(D215,2))),IF(LEN(D215)=7,DATE(VALUE(LEFT(D215,4)),VALUE(MID(D215,6,2)),15),DATE(VALUE(LEFT(D215,4)),7,1)))</f>
        <v>37782</v>
      </c>
      <c r="G215" s="6" t="n">
        <f aca="false">INDEX(Acts!$D:$D,MATCH(B215,Acts!$B:$B,0))</f>
        <v>30006</v>
      </c>
      <c r="H215" s="5" t="str">
        <f aca="false">IF(F215&gt;G215,"yes","no")</f>
        <v>yes</v>
      </c>
      <c r="I215" s="5" t="s">
        <v>218</v>
      </c>
      <c r="J215" s="5" t="n">
        <v>1</v>
      </c>
      <c r="K215" s="5" t="str">
        <f aca="false">IF(J215="","no","yes")</f>
        <v>yes</v>
      </c>
      <c r="L215" s="5" t="s">
        <v>510</v>
      </c>
      <c r="M215" s="7" t="n">
        <f aca="false">IF(L215="",0,IF(L215="Gold",0.5,IF(L215="Platinum",1,IF(L215="Diamond",10,IF(ISNUMBER(FIND("×",L215)),VALUE(LEFT(L215,FIND("×",L215)-1)),0)))))</f>
        <v>2</v>
      </c>
      <c r="N215" s="5" t="s">
        <v>973</v>
      </c>
      <c r="O215" s="5"/>
    </row>
    <row r="216" customFormat="false" ht="15" hidden="false" customHeight="false" outlineLevel="0" collapsed="false">
      <c r="A216" s="5" t="s">
        <v>1013</v>
      </c>
      <c r="B216" s="5" t="s">
        <v>141</v>
      </c>
      <c r="C216" s="5" t="s">
        <v>1014</v>
      </c>
      <c r="D216" s="5" t="s">
        <v>1015</v>
      </c>
      <c r="E216" s="8" t="n">
        <f aca="false">VALUE(LEFT(D216,4))</f>
        <v>1981</v>
      </c>
      <c r="F216" s="6" t="n">
        <f aca="false">IF(LEN(D216)=10,DATE(VALUE(LEFT(D216,4)),VALUE(MID(D216,6,2)),VALUE(RIGHT(D216,2))),IF(LEN(D216)=7,DATE(VALUE(LEFT(D216,4)),VALUE(MID(D216,6,2)),15),DATE(VALUE(LEFT(D216,4)),7,1)))</f>
        <v>29899</v>
      </c>
      <c r="G216" s="6" t="n">
        <f aca="false">INDEX(Acts!$D:$D,MATCH(B216,Acts!$B:$B,0))</f>
        <v>30370</v>
      </c>
      <c r="H216" s="5" t="str">
        <f aca="false">IF(F216&gt;G216,"yes","no")</f>
        <v>no</v>
      </c>
      <c r="I216" s="5" t="s">
        <v>218</v>
      </c>
      <c r="J216" s="5" t="n">
        <v>1</v>
      </c>
      <c r="K216" s="5" t="str">
        <f aca="false">IF(J216="","no","yes")</f>
        <v>yes</v>
      </c>
      <c r="L216" s="5" t="s">
        <v>1016</v>
      </c>
      <c r="M216" s="7" t="n">
        <f aca="false">IF(L216="",0,IF(L216="Gold",0.5,IF(L216="Platinum",1,IF(L216="Diamond",10,IF(ISNUMBER(FIND("×",L216)),VALUE(LEFT(L216,FIND("×",L216)-1)),0)))))</f>
        <v>6</v>
      </c>
      <c r="N216" s="5" t="s">
        <v>1017</v>
      </c>
      <c r="O216" s="5"/>
    </row>
    <row r="217" customFormat="false" ht="15" hidden="false" customHeight="false" outlineLevel="0" collapsed="false">
      <c r="A217" s="5" t="s">
        <v>1018</v>
      </c>
      <c r="B217" s="5" t="s">
        <v>141</v>
      </c>
      <c r="C217" s="5" t="s">
        <v>1019</v>
      </c>
      <c r="D217" s="5" t="s">
        <v>1020</v>
      </c>
      <c r="E217" s="8" t="n">
        <f aca="false">VALUE(LEFT(D217,4))</f>
        <v>1983</v>
      </c>
      <c r="F217" s="6" t="n">
        <f aca="false">IF(LEN(D217)=10,DATE(VALUE(LEFT(D217,4)),VALUE(MID(D217,6,2)),VALUE(RIGHT(D217,2))),IF(LEN(D217)=7,DATE(VALUE(LEFT(D217,4)),VALUE(MID(D217,6,2)),15),DATE(VALUE(LEFT(D217,4)),7,1)))</f>
        <v>30438</v>
      </c>
      <c r="G217" s="6" t="n">
        <f aca="false">INDEX(Acts!$D:$D,MATCH(B217,Acts!$B:$B,0))</f>
        <v>30370</v>
      </c>
      <c r="H217" s="5" t="str">
        <f aca="false">IF(F217&gt;G217,"yes","no")</f>
        <v>yes</v>
      </c>
      <c r="I217" s="5" t="s">
        <v>218</v>
      </c>
      <c r="J217" s="5" t="n">
        <v>3</v>
      </c>
      <c r="K217" s="5" t="str">
        <f aca="false">IF(J217="","no","yes")</f>
        <v>yes</v>
      </c>
      <c r="L217" s="5" t="s">
        <v>386</v>
      </c>
      <c r="M217" s="7" t="n">
        <f aca="false">IF(L217="",0,IF(L217="Gold",0.5,IF(L217="Platinum",1,IF(L217="Diamond",10,IF(ISNUMBER(FIND("×",L217)),VALUE(LEFT(L217,FIND("×",L217)-1)),0)))))</f>
        <v>3</v>
      </c>
      <c r="N217" s="5" t="s">
        <v>1017</v>
      </c>
      <c r="O217" s="5"/>
    </row>
    <row r="218" customFormat="false" ht="15" hidden="false" customHeight="false" outlineLevel="0" collapsed="false">
      <c r="A218" s="5" t="s">
        <v>1021</v>
      </c>
      <c r="B218" s="5" t="s">
        <v>141</v>
      </c>
      <c r="C218" s="5" t="s">
        <v>1022</v>
      </c>
      <c r="D218" s="5" t="s">
        <v>1023</v>
      </c>
      <c r="E218" s="8" t="n">
        <f aca="false">VALUE(LEFT(D218,4))</f>
        <v>1985</v>
      </c>
      <c r="F218" s="6" t="n">
        <f aca="false">IF(LEN(D218)=10,DATE(VALUE(LEFT(D218,4)),VALUE(MID(D218,6,2)),VALUE(RIGHT(D218,2))),IF(LEN(D218)=7,DATE(VALUE(LEFT(D218,4)),VALUE(MID(D218,6,2)),15),DATE(VALUE(LEFT(D218,4)),7,1)))</f>
        <v>31160</v>
      </c>
      <c r="G218" s="6" t="n">
        <f aca="false">INDEX(Acts!$D:$D,MATCH(B218,Acts!$B:$B,0))</f>
        <v>30370</v>
      </c>
      <c r="H218" s="5" t="str">
        <f aca="false">IF(F218&gt;G218,"yes","no")</f>
        <v>yes</v>
      </c>
      <c r="I218" s="5" t="s">
        <v>218</v>
      </c>
      <c r="J218" s="5" t="n">
        <v>50</v>
      </c>
      <c r="K218" s="5" t="str">
        <f aca="false">IF(J218="","no","yes")</f>
        <v>yes</v>
      </c>
      <c r="L218" s="5" t="s">
        <v>271</v>
      </c>
      <c r="M218" s="7" t="n">
        <f aca="false">IF(L218="",0,IF(L218="Gold",0.5,IF(L218="Platinum",1,IF(L218="Diamond",10,IF(ISNUMBER(FIND("×",L218)),VALUE(LEFT(L218,FIND("×",L218)-1)),0)))))</f>
        <v>0.5</v>
      </c>
      <c r="N218" s="5" t="s">
        <v>1017</v>
      </c>
      <c r="O218" s="5"/>
    </row>
    <row r="219" customFormat="false" ht="15" hidden="false" customHeight="false" outlineLevel="0" collapsed="false">
      <c r="A219" s="5" t="s">
        <v>1024</v>
      </c>
      <c r="B219" s="5" t="s">
        <v>144</v>
      </c>
      <c r="C219" s="5" t="s">
        <v>1025</v>
      </c>
      <c r="D219" s="5" t="s">
        <v>1026</v>
      </c>
      <c r="E219" s="8" t="n">
        <f aca="false">VALUE(LEFT(D219,4))</f>
        <v>1982</v>
      </c>
      <c r="F219" s="6" t="n">
        <f aca="false">IF(LEN(D219)=10,DATE(VALUE(LEFT(D219,4)),VALUE(MID(D219,6,2)),VALUE(RIGHT(D219,2))),IF(LEN(D219)=7,DATE(VALUE(LEFT(D219,4)),VALUE(MID(D219,6,2)),15),DATE(VALUE(LEFT(D219,4)),7,1)))</f>
        <v>30056</v>
      </c>
      <c r="G219" s="6" t="n">
        <f aca="false">INDEX(Acts!$D:$D,MATCH(B219,Acts!$B:$B,0))</f>
        <v>30740</v>
      </c>
      <c r="H219" s="5" t="str">
        <f aca="false">IF(F219&gt;G219,"yes","no")</f>
        <v>no</v>
      </c>
      <c r="I219" s="5" t="s">
        <v>218</v>
      </c>
      <c r="J219" s="5" t="n">
        <v>13</v>
      </c>
      <c r="K219" s="5" t="str">
        <f aca="false">IF(J219="","no","yes")</f>
        <v>yes</v>
      </c>
      <c r="L219" s="5" t="s">
        <v>271</v>
      </c>
      <c r="M219" s="7" t="n">
        <f aca="false">IF(L219="",0,IF(L219="Gold",0.5,IF(L219="Platinum",1,IF(L219="Diamond",10,IF(ISNUMBER(FIND("×",L219)),VALUE(LEFT(L219,FIND("×",L219)-1)),0)))))</f>
        <v>0.5</v>
      </c>
      <c r="N219" s="5" t="s">
        <v>1027</v>
      </c>
      <c r="O219" s="5"/>
    </row>
    <row r="220" customFormat="false" ht="15" hidden="false" customHeight="false" outlineLevel="0" collapsed="false">
      <c r="A220" s="5" t="s">
        <v>1028</v>
      </c>
      <c r="B220" s="5" t="s">
        <v>144</v>
      </c>
      <c r="C220" s="5" t="s">
        <v>1029</v>
      </c>
      <c r="D220" s="5" t="s">
        <v>1030</v>
      </c>
      <c r="E220" s="8" t="n">
        <f aca="false">VALUE(LEFT(D220,4))</f>
        <v>1984</v>
      </c>
      <c r="F220" s="6" t="n">
        <f aca="false">IF(LEN(D220)=10,DATE(VALUE(LEFT(D220,4)),VALUE(MID(D220,6,2)),VALUE(RIGHT(D220,2))),IF(LEN(D220)=7,DATE(VALUE(LEFT(D220,4)),VALUE(MID(D220,6,2)),15),DATE(VALUE(LEFT(D220,4)),7,1)))</f>
        <v>30775</v>
      </c>
      <c r="G220" s="6" t="n">
        <f aca="false">INDEX(Acts!$D:$D,MATCH(B220,Acts!$B:$B,0))</f>
        <v>30740</v>
      </c>
      <c r="H220" s="5" t="str">
        <f aca="false">IF(F220&gt;G220,"yes","no")</f>
        <v>yes</v>
      </c>
      <c r="I220" s="5" t="s">
        <v>218</v>
      </c>
      <c r="J220" s="5" t="n">
        <v>127</v>
      </c>
      <c r="K220" s="5" t="str">
        <f aca="false">IF(J220="","no","yes")</f>
        <v>yes</v>
      </c>
      <c r="L220" s="5"/>
      <c r="M220" s="7" t="n">
        <f aca="false">IF(L220="",0,IF(L220="Gold",0.5,IF(L220="Platinum",1,IF(L220="Diamond",10,IF(ISNUMBER(FIND("×",L220)),VALUE(LEFT(L220,FIND("×",L220)-1)),0)))))</f>
        <v>0</v>
      </c>
      <c r="N220" s="5" t="s">
        <v>1027</v>
      </c>
      <c r="O220" s="5"/>
    </row>
    <row r="221" customFormat="false" ht="15" hidden="false" customHeight="false" outlineLevel="0" collapsed="false">
      <c r="A221" s="5" t="s">
        <v>1031</v>
      </c>
      <c r="B221" s="5" t="s">
        <v>144</v>
      </c>
      <c r="C221" s="5" t="s">
        <v>1032</v>
      </c>
      <c r="D221" s="5" t="s">
        <v>1033</v>
      </c>
      <c r="E221" s="8" t="n">
        <f aca="false">VALUE(LEFT(D221,4))</f>
        <v>1987</v>
      </c>
      <c r="F221" s="6" t="n">
        <f aca="false">IF(LEN(D221)=10,DATE(VALUE(LEFT(D221,4)),VALUE(MID(D221,6,2)),VALUE(RIGHT(D221,2))),IF(LEN(D221)=7,DATE(VALUE(LEFT(D221,4)),VALUE(MID(D221,6,2)),15),DATE(VALUE(LEFT(D221,4)),7,1)))</f>
        <v>31957</v>
      </c>
      <c r="G221" s="6" t="n">
        <f aca="false">INDEX(Acts!$D:$D,MATCH(B221,Acts!$B:$B,0))</f>
        <v>30740</v>
      </c>
      <c r="H221" s="5" t="str">
        <f aca="false">IF(F221&gt;G221,"yes","no")</f>
        <v>yes</v>
      </c>
      <c r="I221" s="5" t="s">
        <v>218</v>
      </c>
      <c r="J221" s="5" t="n">
        <v>73</v>
      </c>
      <c r="K221" s="5" t="str">
        <f aca="false">IF(J221="","no","yes")</f>
        <v>yes</v>
      </c>
      <c r="L221" s="5"/>
      <c r="M221" s="7" t="n">
        <f aca="false">IF(L221="",0,IF(L221="Gold",0.5,IF(L221="Platinum",1,IF(L221="Diamond",10,IF(ISNUMBER(FIND("×",L221)),VALUE(LEFT(L221,FIND("×",L221)-1)),0)))))</f>
        <v>0</v>
      </c>
      <c r="N221" s="5" t="s">
        <v>1027</v>
      </c>
      <c r="O221" s="5"/>
    </row>
    <row r="222" customFormat="false" ht="15" hidden="false" customHeight="false" outlineLevel="0" collapsed="false">
      <c r="A222" s="5" t="s">
        <v>1034</v>
      </c>
      <c r="B222" s="5" t="s">
        <v>144</v>
      </c>
      <c r="C222" s="5" t="s">
        <v>1035</v>
      </c>
      <c r="D222" s="5" t="s">
        <v>1036</v>
      </c>
      <c r="E222" s="8" t="n">
        <f aca="false">VALUE(LEFT(D222,4))</f>
        <v>1989</v>
      </c>
      <c r="F222" s="6" t="n">
        <f aca="false">IF(LEN(D222)=10,DATE(VALUE(LEFT(D222,4)),VALUE(MID(D222,6,2)),VALUE(RIGHT(D222,2))),IF(LEN(D222)=7,DATE(VALUE(LEFT(D222,4)),VALUE(MID(D222,6,2)),15),DATE(VALUE(LEFT(D222,4)),7,1)))</f>
        <v>32796</v>
      </c>
      <c r="G222" s="6" t="n">
        <f aca="false">INDEX(Acts!$D:$D,MATCH(B222,Acts!$B:$B,0))</f>
        <v>30740</v>
      </c>
      <c r="H222" s="5" t="str">
        <f aca="false">IF(F222&gt;G222,"yes","no")</f>
        <v>yes</v>
      </c>
      <c r="I222" s="5" t="s">
        <v>230</v>
      </c>
      <c r="J222" s="5"/>
      <c r="K222" s="5" t="str">
        <f aca="false">IF(J222="","no","yes")</f>
        <v>no</v>
      </c>
      <c r="L222" s="5"/>
      <c r="M222" s="7" t="n">
        <f aca="false">IF(L222="",0,IF(L222="Gold",0.5,IF(L222="Platinum",1,IF(L222="Diamond",10,IF(ISNUMBER(FIND("×",L222)),VALUE(LEFT(L222,FIND("×",L222)-1)),0)))))</f>
        <v>0</v>
      </c>
      <c r="N222" s="5" t="s">
        <v>1037</v>
      </c>
      <c r="O222" s="5" t="s">
        <v>1038</v>
      </c>
    </row>
    <row r="223" customFormat="false" ht="15" hidden="false" customHeight="false" outlineLevel="0" collapsed="false">
      <c r="A223" s="5" t="s">
        <v>1039</v>
      </c>
      <c r="B223" s="5" t="s">
        <v>144</v>
      </c>
      <c r="C223" s="5" t="s">
        <v>1040</v>
      </c>
      <c r="D223" s="5" t="s">
        <v>1041</v>
      </c>
      <c r="E223" s="8" t="n">
        <f aca="false">VALUE(LEFT(D223,4))</f>
        <v>1991</v>
      </c>
      <c r="F223" s="6" t="n">
        <f aca="false">IF(LEN(D223)=10,DATE(VALUE(LEFT(D223,4)),VALUE(MID(D223,6,2)),VALUE(RIGHT(D223,2))),IF(LEN(D223)=7,DATE(VALUE(LEFT(D223,4)),VALUE(MID(D223,6,2)),15),DATE(VALUE(LEFT(D223,4)),7,1)))</f>
        <v>33358</v>
      </c>
      <c r="G223" s="6" t="n">
        <f aca="false">INDEX(Acts!$D:$D,MATCH(B223,Acts!$B:$B,0))</f>
        <v>30740</v>
      </c>
      <c r="H223" s="5" t="str">
        <f aca="false">IF(F223&gt;G223,"yes","no")</f>
        <v>yes</v>
      </c>
      <c r="I223" s="5" t="s">
        <v>240</v>
      </c>
      <c r="J223" s="5"/>
      <c r="K223" s="5" t="str">
        <f aca="false">IF(J223="","no","yes")</f>
        <v>no</v>
      </c>
      <c r="L223" s="5"/>
      <c r="M223" s="7" t="n">
        <f aca="false">IF(L223="",0,IF(L223="Gold",0.5,IF(L223="Platinum",1,IF(L223="Diamond",10,IF(ISNUMBER(FIND("×",L223)),VALUE(LEFT(L223,FIND("×",L223)-1)),0)))))</f>
        <v>0</v>
      </c>
      <c r="N223" s="5" t="s">
        <v>1042</v>
      </c>
      <c r="O223" s="5" t="s">
        <v>1043</v>
      </c>
    </row>
    <row r="224" customFormat="false" ht="15" hidden="false" customHeight="false" outlineLevel="0" collapsed="false">
      <c r="A224" s="5" t="s">
        <v>1044</v>
      </c>
      <c r="B224" s="5" t="s">
        <v>144</v>
      </c>
      <c r="C224" s="5" t="s">
        <v>1045</v>
      </c>
      <c r="D224" s="5" t="s">
        <v>1046</v>
      </c>
      <c r="E224" s="8" t="n">
        <f aca="false">VALUE(LEFT(D224,4))</f>
        <v>2003</v>
      </c>
      <c r="F224" s="6" t="n">
        <f aca="false">IF(LEN(D224)=10,DATE(VALUE(LEFT(D224,4)),VALUE(MID(D224,6,2)),VALUE(RIGHT(D224,2))),IF(LEN(D224)=7,DATE(VALUE(LEFT(D224,4)),VALUE(MID(D224,6,2)),15),DATE(VALUE(LEFT(D224,4)),7,1)))</f>
        <v>37929</v>
      </c>
      <c r="G224" s="6" t="n">
        <f aca="false">INDEX(Acts!$D:$D,MATCH(B224,Acts!$B:$B,0))</f>
        <v>30740</v>
      </c>
      <c r="H224" s="5" t="str">
        <f aca="false">IF(F224&gt;G224,"yes","no")</f>
        <v>yes</v>
      </c>
      <c r="I224" s="5" t="s">
        <v>230</v>
      </c>
      <c r="J224" s="5"/>
      <c r="K224" s="5" t="str">
        <f aca="false">IF(J224="","no","yes")</f>
        <v>no</v>
      </c>
      <c r="L224" s="5"/>
      <c r="M224" s="7" t="n">
        <f aca="false">IF(L224="",0,IF(L224="Gold",0.5,IF(L224="Platinum",1,IF(L224="Diamond",10,IF(ISNUMBER(FIND("×",L224)),VALUE(LEFT(L224,FIND("×",L224)-1)),0)))))</f>
        <v>0</v>
      </c>
      <c r="N224" s="5" t="s">
        <v>1047</v>
      </c>
      <c r="O224" s="5" t="s">
        <v>1048</v>
      </c>
    </row>
    <row r="225" customFormat="false" ht="15" hidden="false" customHeight="false" outlineLevel="0" collapsed="false">
      <c r="A225" s="5" t="s">
        <v>1049</v>
      </c>
      <c r="B225" s="5" t="s">
        <v>144</v>
      </c>
      <c r="C225" s="5" t="s">
        <v>1050</v>
      </c>
      <c r="D225" s="5" t="s">
        <v>1051</v>
      </c>
      <c r="E225" s="8" t="n">
        <f aca="false">VALUE(LEFT(D225,4))</f>
        <v>2012</v>
      </c>
      <c r="F225" s="6" t="n">
        <f aca="false">IF(LEN(D225)=10,DATE(VALUE(LEFT(D225,4)),VALUE(MID(D225,6,2)),VALUE(RIGHT(D225,2))),IF(LEN(D225)=7,DATE(VALUE(LEFT(D225,4)),VALUE(MID(D225,6,2)),15),DATE(VALUE(LEFT(D225,4)),7,1)))</f>
        <v>41051</v>
      </c>
      <c r="G225" s="6" t="n">
        <f aca="false">INDEX(Acts!$D:$D,MATCH(B225,Acts!$B:$B,0))</f>
        <v>30740</v>
      </c>
      <c r="H225" s="5" t="str">
        <f aca="false">IF(F225&gt;G225,"yes","no")</f>
        <v>yes</v>
      </c>
      <c r="I225" s="5" t="s">
        <v>218</v>
      </c>
      <c r="J225" s="5"/>
      <c r="K225" s="5" t="str">
        <f aca="false">IF(J225="","no","yes")</f>
        <v>no</v>
      </c>
      <c r="L225" s="5"/>
      <c r="M225" s="7" t="n">
        <f aca="false">IF(L225="",0,IF(L225="Gold",0.5,IF(L225="Platinum",1,IF(L225="Diamond",10,IF(ISNUMBER(FIND("×",L225)),VALUE(LEFT(L225,FIND("×",L225)-1)),0)))))</f>
        <v>0</v>
      </c>
      <c r="N225" s="5" t="s">
        <v>1052</v>
      </c>
      <c r="O225" s="5" t="s">
        <v>1053</v>
      </c>
    </row>
    <row r="226" customFormat="false" ht="15" hidden="false" customHeight="false" outlineLevel="0" collapsed="false">
      <c r="A226" s="5" t="s">
        <v>1054</v>
      </c>
      <c r="B226" s="5" t="s">
        <v>144</v>
      </c>
      <c r="C226" s="5" t="s">
        <v>1055</v>
      </c>
      <c r="D226" s="5" t="s">
        <v>1056</v>
      </c>
      <c r="E226" s="8" t="n">
        <f aca="false">VALUE(LEFT(D226,4))</f>
        <v>2022</v>
      </c>
      <c r="F226" s="6" t="n">
        <f aca="false">IF(LEN(D226)=10,DATE(VALUE(LEFT(D226,4)),VALUE(MID(D226,6,2)),VALUE(RIGHT(D226,2))),IF(LEN(D226)=7,DATE(VALUE(LEFT(D226,4)),VALUE(MID(D226,6,2)),15),DATE(VALUE(LEFT(D226,4)),7,1)))</f>
        <v>44631</v>
      </c>
      <c r="G226" s="6" t="n">
        <f aca="false">INDEX(Acts!$D:$D,MATCH(B226,Acts!$B:$B,0))</f>
        <v>30740</v>
      </c>
      <c r="H226" s="5" t="str">
        <f aca="false">IF(F226&gt;G226,"yes","no")</f>
        <v>yes</v>
      </c>
      <c r="I226" s="5" t="s">
        <v>230</v>
      </c>
      <c r="J226" s="5"/>
      <c r="K226" s="5" t="str">
        <f aca="false">IF(J226="","no","yes")</f>
        <v>no</v>
      </c>
      <c r="L226" s="5"/>
      <c r="M226" s="7" t="n">
        <f aca="false">IF(L226="",0,IF(L226="Gold",0.5,IF(L226="Platinum",1,IF(L226="Diamond",10,IF(ISNUMBER(FIND("×",L226)),VALUE(LEFT(L226,FIND("×",L226)-1)),0)))))</f>
        <v>0</v>
      </c>
      <c r="N226" s="5" t="s">
        <v>1057</v>
      </c>
      <c r="O226" s="5" t="s">
        <v>1058</v>
      </c>
    </row>
    <row r="227" customFormat="false" ht="15" hidden="false" customHeight="false" outlineLevel="0" collapsed="false">
      <c r="A227" s="5" t="s">
        <v>1059</v>
      </c>
      <c r="B227" s="5" t="s">
        <v>144</v>
      </c>
      <c r="C227" s="5" t="s">
        <v>1060</v>
      </c>
      <c r="D227" s="5" t="s">
        <v>1061</v>
      </c>
      <c r="E227" s="8" t="n">
        <f aca="false">VALUE(LEFT(D227,4))</f>
        <v>2025</v>
      </c>
      <c r="F227" s="6" t="n">
        <f aca="false">IF(LEN(D227)=10,DATE(VALUE(LEFT(D227,4)),VALUE(MID(D227,6,2)),VALUE(RIGHT(D227,2))),IF(LEN(D227)=7,DATE(VALUE(LEFT(D227,4)),VALUE(MID(D227,6,2)),15),DATE(VALUE(LEFT(D227,4)),7,1)))</f>
        <v>45975</v>
      </c>
      <c r="G227" s="6" t="n">
        <f aca="false">INDEX(Acts!$D:$D,MATCH(B227,Acts!$B:$B,0))</f>
        <v>30740</v>
      </c>
      <c r="H227" s="5" t="str">
        <f aca="false">IF(F227&gt;G227,"yes","no")</f>
        <v>yes</v>
      </c>
      <c r="I227" s="5" t="s">
        <v>230</v>
      </c>
      <c r="J227" s="5"/>
      <c r="K227" s="5" t="str">
        <f aca="false">IF(J227="","no","yes")</f>
        <v>no</v>
      </c>
      <c r="L227" s="5"/>
      <c r="M227" s="7" t="n">
        <f aca="false">IF(L227="",0,IF(L227="Gold",0.5,IF(L227="Platinum",1,IF(L227="Diamond",10,IF(ISNUMBER(FIND("×",L227)),VALUE(LEFT(L227,FIND("×",L227)-1)),0)))))</f>
        <v>0</v>
      </c>
      <c r="N227" s="5" t="s">
        <v>1062</v>
      </c>
      <c r="O227" s="5" t="s">
        <v>1063</v>
      </c>
    </row>
    <row r="228" customFormat="false" ht="15" hidden="false" customHeight="false" outlineLevel="0" collapsed="false">
      <c r="A228" s="5" t="s">
        <v>1064</v>
      </c>
      <c r="B228" s="5" t="s">
        <v>147</v>
      </c>
      <c r="C228" s="5" t="s">
        <v>1065</v>
      </c>
      <c r="D228" s="5" t="s">
        <v>1066</v>
      </c>
      <c r="E228" s="8" t="n">
        <f aca="false">VALUE(LEFT(D228,4))</f>
        <v>1982</v>
      </c>
      <c r="F228" s="6" t="n">
        <f aca="false">IF(LEN(D228)=10,DATE(VALUE(LEFT(D228,4)),VALUE(MID(D228,6,2)),VALUE(RIGHT(D228,2))),IF(LEN(D228)=7,DATE(VALUE(LEFT(D228,4)),VALUE(MID(D228,6,2)),15),DATE(VALUE(LEFT(D228,4)),7,1)))</f>
        <v>30246</v>
      </c>
      <c r="G228" s="6" t="n">
        <f aca="false">INDEX(Acts!$D:$D,MATCH(B228,Acts!$B:$B,0))</f>
        <v>30740</v>
      </c>
      <c r="H228" s="5" t="str">
        <f aca="false">IF(F228&gt;G228,"yes","no")</f>
        <v>no</v>
      </c>
      <c r="I228" s="5" t="s">
        <v>218</v>
      </c>
      <c r="J228" s="5" t="n">
        <v>23</v>
      </c>
      <c r="K228" s="5" t="str">
        <f aca="false">IF(J228="","no","yes")</f>
        <v>yes</v>
      </c>
      <c r="L228" s="5"/>
      <c r="M228" s="7" t="n">
        <f aca="false">IF(L228="",0,IF(L228="Gold",0.5,IF(L228="Platinum",1,IF(L228="Diamond",10,IF(ISNUMBER(FIND("×",L228)),VALUE(LEFT(L228,FIND("×",L228)-1)),0)))))</f>
        <v>0</v>
      </c>
      <c r="N228" s="5" t="s">
        <v>1067</v>
      </c>
      <c r="O228" s="5" t="s">
        <v>1068</v>
      </c>
    </row>
    <row r="229" customFormat="false" ht="15" hidden="false" customHeight="false" outlineLevel="0" collapsed="false">
      <c r="A229" s="5" t="s">
        <v>1069</v>
      </c>
      <c r="B229" s="5" t="s">
        <v>147</v>
      </c>
      <c r="C229" s="5" t="s">
        <v>1070</v>
      </c>
      <c r="D229" s="5" t="s">
        <v>503</v>
      </c>
      <c r="E229" s="8" t="n">
        <f aca="false">VALUE(LEFT(D229,4))</f>
        <v>1983</v>
      </c>
      <c r="F229" s="6" t="n">
        <f aca="false">IF(LEN(D229)=10,DATE(VALUE(LEFT(D229,4)),VALUE(MID(D229,6,2)),VALUE(RIGHT(D229,2))),IF(LEN(D229)=7,DATE(VALUE(LEFT(D229,4)),VALUE(MID(D229,6,2)),15),DATE(VALUE(LEFT(D229,4)),7,1)))</f>
        <v>30604</v>
      </c>
      <c r="G229" s="6" t="n">
        <f aca="false">INDEX(Acts!$D:$D,MATCH(B229,Acts!$B:$B,0))</f>
        <v>30740</v>
      </c>
      <c r="H229" s="5" t="str">
        <f aca="false">IF(F229&gt;G229,"yes","no")</f>
        <v>no</v>
      </c>
      <c r="I229" s="5" t="s">
        <v>218</v>
      </c>
      <c r="J229" s="5" t="n">
        <v>144</v>
      </c>
      <c r="K229" s="5" t="str">
        <f aca="false">IF(J229="","no","yes")</f>
        <v>yes</v>
      </c>
      <c r="L229" s="5"/>
      <c r="M229" s="7" t="n">
        <f aca="false">IF(L229="",0,IF(L229="Gold",0.5,IF(L229="Platinum",1,IF(L229="Diamond",10,IF(ISNUMBER(FIND("×",L229)),VALUE(LEFT(L229,FIND("×",L229)-1)),0)))))</f>
        <v>0</v>
      </c>
      <c r="N229" s="5" t="s">
        <v>1067</v>
      </c>
      <c r="O229" s="5"/>
    </row>
    <row r="230" customFormat="false" ht="15" hidden="false" customHeight="false" outlineLevel="0" collapsed="false">
      <c r="A230" s="5" t="s">
        <v>1071</v>
      </c>
      <c r="B230" s="5" t="s">
        <v>147</v>
      </c>
      <c r="C230" s="5" t="s">
        <v>1072</v>
      </c>
      <c r="D230" s="5" t="s">
        <v>1073</v>
      </c>
      <c r="E230" s="8" t="n">
        <f aca="false">VALUE(LEFT(D230,4))</f>
        <v>2018</v>
      </c>
      <c r="F230" s="6" t="n">
        <f aca="false">IF(LEN(D230)=10,DATE(VALUE(LEFT(D230,4)),VALUE(MID(D230,6,2)),VALUE(RIGHT(D230,2))),IF(LEN(D230)=7,DATE(VALUE(LEFT(D230,4)),VALUE(MID(D230,6,2)),15),DATE(VALUE(LEFT(D230,4)),7,1)))</f>
        <v>43174</v>
      </c>
      <c r="G230" s="6" t="n">
        <f aca="false">INDEX(Acts!$D:$D,MATCH(B230,Acts!$B:$B,0))</f>
        <v>30740</v>
      </c>
      <c r="H230" s="5" t="str">
        <f aca="false">IF(F230&gt;G230,"yes","no")</f>
        <v>yes</v>
      </c>
      <c r="I230" s="5" t="s">
        <v>230</v>
      </c>
      <c r="J230" s="5"/>
      <c r="K230" s="5" t="str">
        <f aca="false">IF(J230="","no","yes")</f>
        <v>no</v>
      </c>
      <c r="L230" s="5"/>
      <c r="M230" s="7" t="n">
        <f aca="false">IF(L230="",0,IF(L230="Gold",0.5,IF(L230="Platinum",1,IF(L230="Diamond",10,IF(ISNUMBER(FIND("×",L230)),VALUE(LEFT(L230,FIND("×",L230)-1)),0)))))</f>
        <v>0</v>
      </c>
      <c r="N230" s="5" t="s">
        <v>1067</v>
      </c>
      <c r="O230" s="5" t="s">
        <v>1074</v>
      </c>
    </row>
    <row r="231" customFormat="false" ht="15" hidden="false" customHeight="false" outlineLevel="0" collapsed="false">
      <c r="A231" s="5" t="s">
        <v>1075</v>
      </c>
      <c r="B231" s="5" t="s">
        <v>150</v>
      </c>
      <c r="C231" s="5" t="s">
        <v>1076</v>
      </c>
      <c r="D231" s="5" t="s">
        <v>1077</v>
      </c>
      <c r="E231" s="8" t="n">
        <f aca="false">VALUE(LEFT(D231,4))</f>
        <v>1989</v>
      </c>
      <c r="F231" s="6" t="n">
        <f aca="false">IF(LEN(D231)=10,DATE(VALUE(LEFT(D231,4)),VALUE(MID(D231,6,2)),VALUE(RIGHT(D231,2))),IF(LEN(D231)=7,DATE(VALUE(LEFT(D231,4)),VALUE(MID(D231,6,2)),15),DATE(VALUE(LEFT(D231,4)),7,1)))</f>
        <v>32664</v>
      </c>
      <c r="G231" s="6" t="n">
        <f aca="false">INDEX(Acts!$D:$D,MATCH(B231,Acts!$B:$B,0))</f>
        <v>32925</v>
      </c>
      <c r="H231" s="5" t="str">
        <f aca="false">IF(F231&gt;G231,"yes","no")</f>
        <v>no</v>
      </c>
      <c r="I231" s="5" t="s">
        <v>218</v>
      </c>
      <c r="J231" s="5" t="n">
        <v>40</v>
      </c>
      <c r="K231" s="5" t="str">
        <f aca="false">IF(J231="","no","yes")</f>
        <v>yes</v>
      </c>
      <c r="L231" s="5"/>
      <c r="M231" s="7" t="n">
        <f aca="false">IF(L231="",0,IF(L231="Gold",0.5,IF(L231="Platinum",1,IF(L231="Diamond",10,IF(ISNUMBER(FIND("×",L231)),VALUE(LEFT(L231,FIND("×",L231)-1)),0)))))</f>
        <v>0</v>
      </c>
      <c r="N231" s="5" t="s">
        <v>1078</v>
      </c>
      <c r="O231" s="5" t="s">
        <v>1079</v>
      </c>
    </row>
    <row r="232" customFormat="false" ht="15" hidden="false" customHeight="false" outlineLevel="0" collapsed="false">
      <c r="A232" s="5" t="s">
        <v>1080</v>
      </c>
      <c r="B232" s="5" t="s">
        <v>150</v>
      </c>
      <c r="C232" s="5" t="s">
        <v>1081</v>
      </c>
      <c r="D232" s="5" t="s">
        <v>1082</v>
      </c>
      <c r="E232" s="8" t="n">
        <f aca="false">VALUE(LEFT(D232,4))</f>
        <v>1992</v>
      </c>
      <c r="F232" s="6" t="n">
        <f aca="false">IF(LEN(D232)=10,DATE(VALUE(LEFT(D232,4)),VALUE(MID(D232,6,2)),VALUE(RIGHT(D232,2))),IF(LEN(D232)=7,DATE(VALUE(LEFT(D232,4)),VALUE(MID(D232,6,2)),15),DATE(VALUE(LEFT(D232,4)),7,1)))</f>
        <v>33903</v>
      </c>
      <c r="G232" s="6" t="n">
        <f aca="false">INDEX(Acts!$D:$D,MATCH(B232,Acts!$B:$B,0))</f>
        <v>32925</v>
      </c>
      <c r="H232" s="5" t="str">
        <f aca="false">IF(F232&gt;G232,"yes","no")</f>
        <v>yes</v>
      </c>
      <c r="I232" s="5" t="s">
        <v>230</v>
      </c>
      <c r="J232" s="5"/>
      <c r="K232" s="5" t="str">
        <f aca="false">IF(J232="","no","yes")</f>
        <v>no</v>
      </c>
      <c r="L232" s="5"/>
      <c r="M232" s="7" t="n">
        <f aca="false">IF(L232="",0,IF(L232="Gold",0.5,IF(L232="Platinum",1,IF(L232="Diamond",10,IF(ISNUMBER(FIND("×",L232)),VALUE(LEFT(L232,FIND("×",L232)-1)),0)))))</f>
        <v>0</v>
      </c>
      <c r="N232" s="5" t="s">
        <v>1078</v>
      </c>
      <c r="O232" s="5" t="s">
        <v>1083</v>
      </c>
    </row>
    <row r="233" customFormat="false" ht="15" hidden="false" customHeight="false" outlineLevel="0" collapsed="false">
      <c r="A233" s="5" t="s">
        <v>1084</v>
      </c>
      <c r="B233" s="5" t="s">
        <v>150</v>
      </c>
      <c r="C233" s="5" t="s">
        <v>1085</v>
      </c>
      <c r="D233" s="5" t="s">
        <v>1086</v>
      </c>
      <c r="E233" s="8" t="n">
        <f aca="false">VALUE(LEFT(D233,4))</f>
        <v>1996</v>
      </c>
      <c r="F233" s="6" t="n">
        <f aca="false">IF(LEN(D233)=10,DATE(VALUE(LEFT(D233,4)),VALUE(MID(D233,6,2)),VALUE(RIGHT(D233,2))),IF(LEN(D233)=7,DATE(VALUE(LEFT(D233,4)),VALUE(MID(D233,6,2)),15),DATE(VALUE(LEFT(D233,4)),7,1)))</f>
        <v>35310</v>
      </c>
      <c r="G233" s="6" t="n">
        <f aca="false">INDEX(Acts!$D:$D,MATCH(B233,Acts!$B:$B,0))</f>
        <v>32925</v>
      </c>
      <c r="H233" s="5" t="str">
        <f aca="false">IF(F233&gt;G233,"yes","no")</f>
        <v>yes</v>
      </c>
      <c r="I233" s="5" t="s">
        <v>230</v>
      </c>
      <c r="J233" s="5"/>
      <c r="K233" s="5" t="str">
        <f aca="false">IF(J233="","no","yes")</f>
        <v>no</v>
      </c>
      <c r="L233" s="5"/>
      <c r="M233" s="7" t="n">
        <f aca="false">IF(L233="",0,IF(L233="Gold",0.5,IF(L233="Platinum",1,IF(L233="Diamond",10,IF(ISNUMBER(FIND("×",L233)),VALUE(LEFT(L233,FIND("×",L233)-1)),0)))))</f>
        <v>0</v>
      </c>
      <c r="N233" s="5" t="s">
        <v>1078</v>
      </c>
      <c r="O233" s="5" t="s">
        <v>1087</v>
      </c>
    </row>
    <row r="234" customFormat="false" ht="15" hidden="false" customHeight="false" outlineLevel="0" collapsed="false">
      <c r="A234" s="5" t="s">
        <v>1088</v>
      </c>
      <c r="B234" s="5" t="s">
        <v>150</v>
      </c>
      <c r="C234" s="5" t="s">
        <v>1089</v>
      </c>
      <c r="D234" s="5" t="s">
        <v>1090</v>
      </c>
      <c r="E234" s="8" t="n">
        <f aca="false">VALUE(LEFT(D234,4))</f>
        <v>2014</v>
      </c>
      <c r="F234" s="6" t="n">
        <f aca="false">IF(LEN(D234)=10,DATE(VALUE(LEFT(D234,4)),VALUE(MID(D234,6,2)),VALUE(RIGHT(D234,2))),IF(LEN(D234)=7,DATE(VALUE(LEFT(D234,4)),VALUE(MID(D234,6,2)),15),DATE(VALUE(LEFT(D234,4)),7,1)))</f>
        <v>41695</v>
      </c>
      <c r="G234" s="6" t="n">
        <f aca="false">INDEX(Acts!$D:$D,MATCH(B234,Acts!$B:$B,0))</f>
        <v>32925</v>
      </c>
      <c r="H234" s="5" t="str">
        <f aca="false">IF(F234&gt;G234,"yes","no")</f>
        <v>yes</v>
      </c>
      <c r="I234" s="5" t="s">
        <v>218</v>
      </c>
      <c r="J234" s="5"/>
      <c r="K234" s="5" t="str">
        <f aca="false">IF(J234="","no","yes")</f>
        <v>no</v>
      </c>
      <c r="L234" s="5"/>
      <c r="M234" s="7" t="n">
        <f aca="false">IF(L234="",0,IF(L234="Gold",0.5,IF(L234="Platinum",1,IF(L234="Diamond",10,IF(ISNUMBER(FIND("×",L234)),VALUE(LEFT(L234,FIND("×",L234)-1)),0)))))</f>
        <v>0</v>
      </c>
      <c r="N234" s="5" t="s">
        <v>1091</v>
      </c>
      <c r="O234" s="5" t="s">
        <v>1092</v>
      </c>
    </row>
    <row r="235" customFormat="false" ht="15" hidden="false" customHeight="false" outlineLevel="0" collapsed="false">
      <c r="A235" s="5" t="s">
        <v>1093</v>
      </c>
      <c r="B235" s="5" t="s">
        <v>150</v>
      </c>
      <c r="C235" s="5" t="s">
        <v>1094</v>
      </c>
      <c r="D235" s="5" t="s">
        <v>1095</v>
      </c>
      <c r="E235" s="8" t="n">
        <f aca="false">VALUE(LEFT(D235,4))</f>
        <v>2018</v>
      </c>
      <c r="F235" s="6" t="n">
        <f aca="false">IF(LEN(D235)=10,DATE(VALUE(LEFT(D235,4)),VALUE(MID(D235,6,2)),VALUE(RIGHT(D235,2))),IF(LEN(D235)=7,DATE(VALUE(LEFT(D235,4)),VALUE(MID(D235,6,2)),15),DATE(VALUE(LEFT(D235,4)),7,1)))</f>
        <v>43392</v>
      </c>
      <c r="G235" s="6" t="n">
        <f aca="false">INDEX(Acts!$D:$D,MATCH(B235,Acts!$B:$B,0))</f>
        <v>32925</v>
      </c>
      <c r="H235" s="5" t="str">
        <f aca="false">IF(F235&gt;G235,"yes","no")</f>
        <v>yes</v>
      </c>
      <c r="I235" s="5" t="s">
        <v>230</v>
      </c>
      <c r="J235" s="5"/>
      <c r="K235" s="5" t="str">
        <f aca="false">IF(J235="","no","yes")</f>
        <v>no</v>
      </c>
      <c r="L235" s="5"/>
      <c r="M235" s="7" t="n">
        <f aca="false">IF(L235="",0,IF(L235="Gold",0.5,IF(L235="Platinum",1,IF(L235="Diamond",10,IF(ISNUMBER(FIND("×",L235)),VALUE(LEFT(L235,FIND("×",L235)-1)),0)))))</f>
        <v>0</v>
      </c>
      <c r="N235" s="5" t="s">
        <v>1078</v>
      </c>
      <c r="O235" s="5" t="s">
        <v>1096</v>
      </c>
    </row>
    <row r="236" customFormat="false" ht="15" hidden="false" customHeight="false" outlineLevel="0" collapsed="false">
      <c r="A236" s="5" t="s">
        <v>1097</v>
      </c>
      <c r="B236" s="5" t="s">
        <v>153</v>
      </c>
      <c r="C236" s="5" t="s">
        <v>1098</v>
      </c>
      <c r="D236" s="5" t="s">
        <v>1099</v>
      </c>
      <c r="E236" s="8" t="n">
        <f aca="false">VALUE(LEFT(D236,4))</f>
        <v>1982</v>
      </c>
      <c r="F236" s="6" t="n">
        <f aca="false">IF(LEN(D236)=10,DATE(VALUE(LEFT(D236,4)),VALUE(MID(D236,6,2)),VALUE(RIGHT(D236,2))),IF(LEN(D236)=7,DATE(VALUE(LEFT(D236,4)),VALUE(MID(D236,6,2)),15),DATE(VALUE(LEFT(D236,4)),7,1)))</f>
        <v>30133</v>
      </c>
      <c r="G236" s="6" t="n">
        <f aca="false">INDEX(Acts!$D:$D,MATCH(B236,Acts!$B:$B,0))</f>
        <v>31832</v>
      </c>
      <c r="H236" s="5" t="str">
        <f aca="false">IF(F236&gt;G236,"yes","no")</f>
        <v>no</v>
      </c>
      <c r="I236" s="5" t="s">
        <v>230</v>
      </c>
      <c r="J236" s="5"/>
      <c r="K236" s="5" t="str">
        <f aca="false">IF(J236="","no","yes")</f>
        <v>no</v>
      </c>
      <c r="L236" s="5"/>
      <c r="M236" s="7" t="n">
        <f aca="false">IF(L236="",0,IF(L236="Gold",0.5,IF(L236="Platinum",1,IF(L236="Diamond",10,IF(ISNUMBER(FIND("×",L236)),VALUE(LEFT(L236,FIND("×",L236)-1)),0)))))</f>
        <v>0</v>
      </c>
      <c r="N236" s="5" t="s">
        <v>1100</v>
      </c>
      <c r="O236" s="5" t="s">
        <v>1101</v>
      </c>
    </row>
    <row r="237" customFormat="false" ht="15" hidden="false" customHeight="false" outlineLevel="0" collapsed="false">
      <c r="A237" s="5" t="s">
        <v>1102</v>
      </c>
      <c r="B237" s="5" t="s">
        <v>153</v>
      </c>
      <c r="C237" s="5" t="s">
        <v>1103</v>
      </c>
      <c r="D237" s="5" t="s">
        <v>1104</v>
      </c>
      <c r="E237" s="8" t="n">
        <f aca="false">VALUE(LEFT(D237,4))</f>
        <v>1985</v>
      </c>
      <c r="F237" s="6" t="n">
        <f aca="false">IF(LEN(D237)=10,DATE(VALUE(LEFT(D237,4)),VALUE(MID(D237,6,2)),VALUE(RIGHT(D237,2))),IF(LEN(D237)=7,DATE(VALUE(LEFT(D237,4)),VALUE(MID(D237,6,2)),15),DATE(VALUE(LEFT(D237,4)),7,1)))</f>
        <v>31107</v>
      </c>
      <c r="G237" s="6" t="n">
        <f aca="false">INDEX(Acts!$D:$D,MATCH(B237,Acts!$B:$B,0))</f>
        <v>31832</v>
      </c>
      <c r="H237" s="5" t="str">
        <f aca="false">IF(F237&gt;G237,"yes","no")</f>
        <v>no</v>
      </c>
      <c r="I237" s="5" t="s">
        <v>230</v>
      </c>
      <c r="J237" s="5"/>
      <c r="K237" s="5" t="str">
        <f aca="false">IF(J237="","no","yes")</f>
        <v>no</v>
      </c>
      <c r="L237" s="5"/>
      <c r="M237" s="7" t="n">
        <f aca="false">IF(L237="",0,IF(L237="Gold",0.5,IF(L237="Platinum",1,IF(L237="Diamond",10,IF(ISNUMBER(FIND("×",L237)),VALUE(LEFT(L237,FIND("×",L237)-1)),0)))))</f>
        <v>0</v>
      </c>
      <c r="N237" s="5" t="s">
        <v>1100</v>
      </c>
      <c r="O237" s="5" t="s">
        <v>1105</v>
      </c>
    </row>
    <row r="238" customFormat="false" ht="15" hidden="false" customHeight="false" outlineLevel="0" collapsed="false">
      <c r="A238" s="5" t="s">
        <v>1106</v>
      </c>
      <c r="B238" s="5" t="s">
        <v>153</v>
      </c>
      <c r="C238" s="5" t="s">
        <v>1107</v>
      </c>
      <c r="D238" s="5" t="s">
        <v>1108</v>
      </c>
      <c r="E238" s="8" t="n">
        <f aca="false">VALUE(LEFT(D238,4))</f>
        <v>1986</v>
      </c>
      <c r="F238" s="6" t="n">
        <f aca="false">IF(LEN(D238)=10,DATE(VALUE(LEFT(D238,4)),VALUE(MID(D238,6,2)),VALUE(RIGHT(D238,2))),IF(LEN(D238)=7,DATE(VALUE(LEFT(D238,4)),VALUE(MID(D238,6,2)),15),DATE(VALUE(LEFT(D238,4)),7,1)))</f>
        <v>31537</v>
      </c>
      <c r="G238" s="6" t="n">
        <f aca="false">INDEX(Acts!$D:$D,MATCH(B238,Acts!$B:$B,0))</f>
        <v>31832</v>
      </c>
      <c r="H238" s="5" t="str">
        <f aca="false">IF(F238&gt;G238,"yes","no")</f>
        <v>no</v>
      </c>
      <c r="I238" s="5" t="s">
        <v>218</v>
      </c>
      <c r="J238" s="5" t="n">
        <v>27</v>
      </c>
      <c r="K238" s="5" t="str">
        <f aca="false">IF(J238="","no","yes")</f>
        <v>yes</v>
      </c>
      <c r="L238" s="5" t="s">
        <v>271</v>
      </c>
      <c r="M238" s="7" t="n">
        <f aca="false">IF(L238="",0,IF(L238="Gold",0.5,IF(L238="Platinum",1,IF(L238="Diamond",10,IF(ISNUMBER(FIND("×",L238)),VALUE(LEFT(L238,FIND("×",L238)-1)),0)))))</f>
        <v>0.5</v>
      </c>
      <c r="N238" s="5" t="s">
        <v>1100</v>
      </c>
      <c r="O238" s="5"/>
    </row>
    <row r="239" customFormat="false" ht="15" hidden="false" customHeight="false" outlineLevel="0" collapsed="false">
      <c r="A239" s="5" t="s">
        <v>1109</v>
      </c>
      <c r="B239" s="5" t="s">
        <v>153</v>
      </c>
      <c r="C239" s="5" t="s">
        <v>1110</v>
      </c>
      <c r="D239" s="5" t="s">
        <v>1111</v>
      </c>
      <c r="E239" s="8" t="n">
        <f aca="false">VALUE(LEFT(D239,4))</f>
        <v>1988</v>
      </c>
      <c r="F239" s="6" t="n">
        <f aca="false">IF(LEN(D239)=10,DATE(VALUE(LEFT(D239,4)),VALUE(MID(D239,6,2)),VALUE(RIGHT(D239,2))),IF(LEN(D239)=7,DATE(VALUE(LEFT(D239,4)),VALUE(MID(D239,6,2)),15),DATE(VALUE(LEFT(D239,4)),7,1)))</f>
        <v>32230</v>
      </c>
      <c r="G239" s="6" t="n">
        <f aca="false">INDEX(Acts!$D:$D,MATCH(B239,Acts!$B:$B,0))</f>
        <v>31832</v>
      </c>
      <c r="H239" s="5" t="str">
        <f aca="false">IF(F239&gt;G239,"yes","no")</f>
        <v>yes</v>
      </c>
      <c r="I239" s="5" t="s">
        <v>218</v>
      </c>
      <c r="J239" s="5" t="n">
        <v>93</v>
      </c>
      <c r="K239" s="5" t="str">
        <f aca="false">IF(J239="","no","yes")</f>
        <v>yes</v>
      </c>
      <c r="L239" s="5"/>
      <c r="M239" s="7" t="n">
        <f aca="false">IF(L239="",0,IF(L239="Gold",0.5,IF(L239="Platinum",1,IF(L239="Diamond",10,IF(ISNUMBER(FIND("×",L239)),VALUE(LEFT(L239,FIND("×",L239)-1)),0)))))</f>
        <v>0</v>
      </c>
      <c r="N239" s="5" t="s">
        <v>1100</v>
      </c>
      <c r="O239" s="5"/>
    </row>
    <row r="240" customFormat="false" ht="15" hidden="false" customHeight="false" outlineLevel="0" collapsed="false">
      <c r="A240" s="5" t="s">
        <v>1112</v>
      </c>
      <c r="B240" s="5" t="s">
        <v>153</v>
      </c>
      <c r="C240" s="5" t="s">
        <v>1113</v>
      </c>
      <c r="D240" s="5" t="s">
        <v>1114</v>
      </c>
      <c r="E240" s="8" t="n">
        <f aca="false">VALUE(LEFT(D240,4))</f>
        <v>2016</v>
      </c>
      <c r="F240" s="6" t="n">
        <f aca="false">IF(LEN(D240)=10,DATE(VALUE(LEFT(D240,4)),VALUE(MID(D240,6,2)),VALUE(RIGHT(D240,2))),IF(LEN(D240)=7,DATE(VALUE(LEFT(D240,4)),VALUE(MID(D240,6,2)),15),DATE(VALUE(LEFT(D240,4)),7,1)))</f>
        <v>42511</v>
      </c>
      <c r="G240" s="6" t="n">
        <f aca="false">INDEX(Acts!$D:$D,MATCH(B240,Acts!$B:$B,0))</f>
        <v>31832</v>
      </c>
      <c r="H240" s="5" t="str">
        <f aca="false">IF(F240&gt;G240,"yes","no")</f>
        <v>yes</v>
      </c>
      <c r="I240" s="5" t="s">
        <v>230</v>
      </c>
      <c r="J240" s="5"/>
      <c r="K240" s="5" t="str">
        <f aca="false">IF(J240="","no","yes")</f>
        <v>no</v>
      </c>
      <c r="L240" s="5"/>
      <c r="M240" s="7" t="n">
        <f aca="false">IF(L240="",0,IF(L240="Gold",0.5,IF(L240="Platinum",1,IF(L240="Diamond",10,IF(ISNUMBER(FIND("×",L240)),VALUE(LEFT(L240,FIND("×",L240)-1)),0)))))</f>
        <v>0</v>
      </c>
      <c r="N240" s="5" t="s">
        <v>1100</v>
      </c>
      <c r="O240" s="5" t="s">
        <v>1115</v>
      </c>
    </row>
    <row r="241" customFormat="false" ht="15" hidden="false" customHeight="false" outlineLevel="0" collapsed="false">
      <c r="A241" s="5" t="s">
        <v>1116</v>
      </c>
      <c r="B241" s="5" t="s">
        <v>155</v>
      </c>
      <c r="C241" s="5" t="s">
        <v>1117</v>
      </c>
      <c r="D241" s="5" t="s">
        <v>1118</v>
      </c>
      <c r="E241" s="8" t="n">
        <f aca="false">VALUE(LEFT(D241,4))</f>
        <v>1980</v>
      </c>
      <c r="F241" s="6" t="n">
        <f aca="false">IF(LEN(D241)=10,DATE(VALUE(LEFT(D241,4)),VALUE(MID(D241,6,2)),VALUE(RIGHT(D241,2))),IF(LEN(D241)=7,DATE(VALUE(LEFT(D241,4)),VALUE(MID(D241,6,2)),15),DATE(VALUE(LEFT(D241,4)),7,1)))</f>
        <v>29231</v>
      </c>
      <c r="G241" s="6" t="n">
        <f aca="false">INDEX(Acts!$D:$D,MATCH(B241,Acts!$B:$B,0))</f>
        <v>29642</v>
      </c>
      <c r="H241" s="5" t="str">
        <f aca="false">IF(F241&gt;G241,"yes","no")</f>
        <v>no</v>
      </c>
      <c r="I241" s="5" t="s">
        <v>218</v>
      </c>
      <c r="J241" s="5" t="n">
        <v>9</v>
      </c>
      <c r="K241" s="5" t="str">
        <f aca="false">IF(J241="","no","yes")</f>
        <v>yes</v>
      </c>
      <c r="L241" s="5" t="s">
        <v>219</v>
      </c>
      <c r="M241" s="7" t="n">
        <f aca="false">IF(L241="",0,IF(L241="Gold",0.5,IF(L241="Platinum",1,IF(L241="Diamond",10,IF(ISNUMBER(FIND("×",L241)),VALUE(LEFT(L241,FIND("×",L241)-1)),0)))))</f>
        <v>1</v>
      </c>
      <c r="N241" s="5" t="s">
        <v>1119</v>
      </c>
      <c r="O241" s="5"/>
    </row>
    <row r="242" customFormat="false" ht="15" hidden="false" customHeight="false" outlineLevel="0" collapsed="false">
      <c r="A242" s="5" t="s">
        <v>1120</v>
      </c>
      <c r="B242" s="5" t="s">
        <v>155</v>
      </c>
      <c r="C242" s="5" t="s">
        <v>1121</v>
      </c>
      <c r="D242" s="5" t="s">
        <v>1122</v>
      </c>
      <c r="E242" s="8" t="n">
        <f aca="false">VALUE(LEFT(D242,4))</f>
        <v>1981</v>
      </c>
      <c r="F242" s="6" t="n">
        <f aca="false">IF(LEN(D242)=10,DATE(VALUE(LEFT(D242,4)),VALUE(MID(D242,6,2)),VALUE(RIGHT(D242,2))),IF(LEN(D242)=7,DATE(VALUE(LEFT(D242,4)),VALUE(MID(D242,6,2)),15),DATE(VALUE(LEFT(D242,4)),7,1)))</f>
        <v>29805</v>
      </c>
      <c r="G242" s="6" t="n">
        <f aca="false">INDEX(Acts!$D:$D,MATCH(B242,Acts!$B:$B,0))</f>
        <v>29642</v>
      </c>
      <c r="H242" s="5" t="str">
        <f aca="false">IF(F242&gt;G242,"yes","no")</f>
        <v>yes</v>
      </c>
      <c r="I242" s="5" t="s">
        <v>218</v>
      </c>
      <c r="J242" s="5" t="n">
        <v>10</v>
      </c>
      <c r="K242" s="5" t="str">
        <f aca="false">IF(J242="","no","yes")</f>
        <v>yes</v>
      </c>
      <c r="L242" s="5" t="s">
        <v>271</v>
      </c>
      <c r="M242" s="7" t="n">
        <f aca="false">IF(L242="",0,IF(L242="Gold",0.5,IF(L242="Platinum",1,IF(L242="Diamond",10,IF(ISNUMBER(FIND("×",L242)),VALUE(LEFT(L242,FIND("×",L242)-1)),0)))))</f>
        <v>0.5</v>
      </c>
      <c r="N242" s="5" t="s">
        <v>1119</v>
      </c>
      <c r="O242" s="5"/>
    </row>
    <row r="243" customFormat="false" ht="15" hidden="false" customHeight="false" outlineLevel="0" collapsed="false">
      <c r="A243" s="5" t="s">
        <v>1123</v>
      </c>
      <c r="B243" s="5" t="s">
        <v>155</v>
      </c>
      <c r="C243" s="5" t="s">
        <v>1124</v>
      </c>
      <c r="D243" s="5" t="s">
        <v>1125</v>
      </c>
      <c r="E243" s="8" t="n">
        <f aca="false">VALUE(LEFT(D243,4))</f>
        <v>1984</v>
      </c>
      <c r="F243" s="6" t="n">
        <f aca="false">IF(LEN(D243)=10,DATE(VALUE(LEFT(D243,4)),VALUE(MID(D243,6,2)),VALUE(RIGHT(D243,2))),IF(LEN(D243)=7,DATE(VALUE(LEFT(D243,4)),VALUE(MID(D243,6,2)),15),DATE(VALUE(LEFT(D243,4)),7,1)))</f>
        <v>30694</v>
      </c>
      <c r="G243" s="6" t="n">
        <f aca="false">INDEX(Acts!$D:$D,MATCH(B243,Acts!$B:$B,0))</f>
        <v>29642</v>
      </c>
      <c r="H243" s="5" t="str">
        <f aca="false">IF(F243&gt;G243,"yes","no")</f>
        <v>yes</v>
      </c>
      <c r="I243" s="5" t="s">
        <v>218</v>
      </c>
      <c r="J243" s="5" t="n">
        <v>5</v>
      </c>
      <c r="K243" s="5" t="str">
        <f aca="false">IF(J243="","no","yes")</f>
        <v>yes</v>
      </c>
      <c r="L243" s="5" t="s">
        <v>219</v>
      </c>
      <c r="M243" s="7" t="n">
        <f aca="false">IF(L243="",0,IF(L243="Gold",0.5,IF(L243="Platinum",1,IF(L243="Diamond",10,IF(ISNUMBER(FIND("×",L243)),VALUE(LEFT(L243,FIND("×",L243)-1)),0)))))</f>
        <v>1</v>
      </c>
      <c r="N243" s="5" t="s">
        <v>1119</v>
      </c>
      <c r="O243" s="5"/>
    </row>
    <row r="244" customFormat="false" ht="15" hidden="false" customHeight="false" outlineLevel="0" collapsed="false">
      <c r="A244" s="5" t="s">
        <v>1126</v>
      </c>
      <c r="B244" s="5" t="s">
        <v>155</v>
      </c>
      <c r="C244" s="5" t="s">
        <v>1127</v>
      </c>
      <c r="D244" s="5" t="s">
        <v>594</v>
      </c>
      <c r="E244" s="8" t="n">
        <f aca="false">VALUE(LEFT(D244,4))</f>
        <v>1986</v>
      </c>
      <c r="F244" s="6" t="n">
        <f aca="false">IF(LEN(D244)=10,DATE(VALUE(LEFT(D244,4)),VALUE(MID(D244,6,2)),VALUE(RIGHT(D244,2))),IF(LEN(D244)=7,DATE(VALUE(LEFT(D244,4)),VALUE(MID(D244,6,2)),15),DATE(VALUE(LEFT(D244,4)),7,1)))</f>
        <v>31705</v>
      </c>
      <c r="G244" s="6" t="n">
        <f aca="false">INDEX(Acts!$D:$D,MATCH(B244,Acts!$B:$B,0))</f>
        <v>29642</v>
      </c>
      <c r="H244" s="5" t="str">
        <f aca="false">IF(F244&gt;G244,"yes","no")</f>
        <v>yes</v>
      </c>
      <c r="I244" s="5" t="s">
        <v>218</v>
      </c>
      <c r="J244" s="5" t="n">
        <v>25</v>
      </c>
      <c r="K244" s="5" t="str">
        <f aca="false">IF(J244="","no","yes")</f>
        <v>yes</v>
      </c>
      <c r="L244" s="5" t="s">
        <v>271</v>
      </c>
      <c r="M244" s="7" t="n">
        <f aca="false">IF(L244="",0,IF(L244="Gold",0.5,IF(L244="Platinum",1,IF(L244="Diamond",10,IF(ISNUMBER(FIND("×",L244)),VALUE(LEFT(L244,FIND("×",L244)-1)),0)))))</f>
        <v>0.5</v>
      </c>
      <c r="N244" s="5" t="s">
        <v>1119</v>
      </c>
      <c r="O244" s="5"/>
    </row>
    <row r="245" customFormat="false" ht="15" hidden="false" customHeight="false" outlineLevel="0" collapsed="false">
      <c r="A245" s="5" t="s">
        <v>1128</v>
      </c>
      <c r="B245" s="5" t="s">
        <v>155</v>
      </c>
      <c r="C245" s="5" t="s">
        <v>1129</v>
      </c>
      <c r="D245" s="5" t="s">
        <v>1130</v>
      </c>
      <c r="E245" s="8" t="n">
        <f aca="false">VALUE(LEFT(D245,4))</f>
        <v>1990</v>
      </c>
      <c r="F245" s="6" t="n">
        <f aca="false">IF(LEN(D245)=10,DATE(VALUE(LEFT(D245,4)),VALUE(MID(D245,6,2)),VALUE(RIGHT(D245,2))),IF(LEN(D245)=7,DATE(VALUE(LEFT(D245,4)),VALUE(MID(D245,6,2)),15),DATE(VALUE(LEFT(D245,4)),7,1)))</f>
        <v>33007</v>
      </c>
      <c r="G245" s="6" t="n">
        <f aca="false">INDEX(Acts!$D:$D,MATCH(B245,Acts!$B:$B,0))</f>
        <v>29642</v>
      </c>
      <c r="H245" s="5" t="str">
        <f aca="false">IF(F245&gt;G245,"yes","no")</f>
        <v>yes</v>
      </c>
      <c r="I245" s="5" t="s">
        <v>218</v>
      </c>
      <c r="J245" s="5" t="n">
        <v>48</v>
      </c>
      <c r="K245" s="5" t="str">
        <f aca="false">IF(J245="","no","yes")</f>
        <v>yes</v>
      </c>
      <c r="L245" s="5"/>
      <c r="M245" s="7" t="n">
        <f aca="false">IF(L245="",0,IF(L245="Gold",0.5,IF(L245="Platinum",1,IF(L245="Diamond",10,IF(ISNUMBER(FIND("×",L245)),VALUE(LEFT(L245,FIND("×",L245)-1)),0)))))</f>
        <v>0</v>
      </c>
      <c r="N245" s="5" t="s">
        <v>1119</v>
      </c>
      <c r="O245" s="5"/>
    </row>
    <row r="246" customFormat="false" ht="15" hidden="false" customHeight="false" outlineLevel="0" collapsed="false">
      <c r="A246" s="5" t="s">
        <v>1131</v>
      </c>
      <c r="B246" s="5" t="s">
        <v>155</v>
      </c>
      <c r="C246" s="5" t="s">
        <v>1132</v>
      </c>
      <c r="D246" s="5" t="s">
        <v>1133</v>
      </c>
      <c r="E246" s="8" t="n">
        <f aca="false">VALUE(LEFT(D246,4))</f>
        <v>1994</v>
      </c>
      <c r="F246" s="6" t="n">
        <f aca="false">IF(LEN(D246)=10,DATE(VALUE(LEFT(D246,4)),VALUE(MID(D246,6,2)),VALUE(RIGHT(D246,2))),IF(LEN(D246)=7,DATE(VALUE(LEFT(D246,4)),VALUE(MID(D246,6,2)),15),DATE(VALUE(LEFT(D246,4)),7,1)))</f>
        <v>34463</v>
      </c>
      <c r="G246" s="6" t="n">
        <f aca="false">INDEX(Acts!$D:$D,MATCH(B246,Acts!$B:$B,0))</f>
        <v>29642</v>
      </c>
      <c r="H246" s="5" t="str">
        <f aca="false">IF(F246&gt;G246,"yes","no")</f>
        <v>yes</v>
      </c>
      <c r="I246" s="5" t="s">
        <v>218</v>
      </c>
      <c r="J246" s="5" t="n">
        <v>41</v>
      </c>
      <c r="K246" s="5" t="str">
        <f aca="false">IF(J246="","no","yes")</f>
        <v>yes</v>
      </c>
      <c r="L246" s="5" t="s">
        <v>271</v>
      </c>
      <c r="M246" s="7" t="n">
        <f aca="false">IF(L246="",0,IF(L246="Gold",0.5,IF(L246="Platinum",1,IF(L246="Diamond",10,IF(ISNUMBER(FIND("×",L246)),VALUE(LEFT(L246,FIND("×",L246)-1)),0)))))</f>
        <v>0.5</v>
      </c>
      <c r="N246" s="5" t="s">
        <v>1119</v>
      </c>
      <c r="O246" s="5"/>
    </row>
    <row r="247" customFormat="false" ht="15" hidden="false" customHeight="false" outlineLevel="0" collapsed="false">
      <c r="A247" s="5" t="s">
        <v>1134</v>
      </c>
      <c r="B247" s="5" t="s">
        <v>155</v>
      </c>
      <c r="C247" s="5" t="s">
        <v>1135</v>
      </c>
      <c r="D247" s="5" t="s">
        <v>1136</v>
      </c>
      <c r="E247" s="8" t="n">
        <f aca="false">VALUE(LEFT(D247,4))</f>
        <v>1999</v>
      </c>
      <c r="F247" s="6" t="n">
        <f aca="false">IF(LEN(D247)=10,DATE(VALUE(LEFT(D247,4)),VALUE(MID(D247,6,2)),VALUE(RIGHT(D247,2))),IF(LEN(D247)=7,DATE(VALUE(LEFT(D247,4)),VALUE(MID(D247,6,2)),15),DATE(VALUE(LEFT(D247,4)),7,1)))</f>
        <v>36295</v>
      </c>
      <c r="G247" s="6" t="n">
        <f aca="false">INDEX(Acts!$D:$D,MATCH(B247,Acts!$B:$B,0))</f>
        <v>29642</v>
      </c>
      <c r="H247" s="5" t="str">
        <f aca="false">IF(F247&gt;G247,"yes","no")</f>
        <v>yes</v>
      </c>
      <c r="I247" s="5" t="s">
        <v>218</v>
      </c>
      <c r="J247" s="5" t="n">
        <v>158</v>
      </c>
      <c r="K247" s="5" t="str">
        <f aca="false">IF(J247="","no","yes")</f>
        <v>yes</v>
      </c>
      <c r="L247" s="5"/>
      <c r="M247" s="7" t="n">
        <f aca="false">IF(L247="",0,IF(L247="Gold",0.5,IF(L247="Platinum",1,IF(L247="Diamond",10,IF(ISNUMBER(FIND("×",L247)),VALUE(LEFT(L247,FIND("×",L247)-1)),0)))))</f>
        <v>0</v>
      </c>
      <c r="N247" s="5" t="s">
        <v>1119</v>
      </c>
      <c r="O247" s="5"/>
    </row>
    <row r="248" customFormat="false" ht="15" hidden="false" customHeight="false" outlineLevel="0" collapsed="false">
      <c r="A248" s="5" t="s">
        <v>1137</v>
      </c>
      <c r="B248" s="5" t="s">
        <v>155</v>
      </c>
      <c r="C248" s="5" t="s">
        <v>1138</v>
      </c>
      <c r="D248" s="5" t="s">
        <v>1139</v>
      </c>
      <c r="E248" s="8" t="n">
        <f aca="false">VALUE(LEFT(D248,4))</f>
        <v>2002</v>
      </c>
      <c r="F248" s="6" t="n">
        <f aca="false">IF(LEN(D248)=10,DATE(VALUE(LEFT(D248,4)),VALUE(MID(D248,6,2)),VALUE(RIGHT(D248,2))),IF(LEN(D248)=7,DATE(VALUE(LEFT(D248,4)),VALUE(MID(D248,6,2)),15),DATE(VALUE(LEFT(D248,4)),7,1)))</f>
        <v>37572</v>
      </c>
      <c r="G248" s="6" t="n">
        <f aca="false">INDEX(Acts!$D:$D,MATCH(B248,Acts!$B:$B,0))</f>
        <v>29642</v>
      </c>
      <c r="H248" s="5" t="str">
        <f aca="false">IF(F248&gt;G248,"yes","no")</f>
        <v>yes</v>
      </c>
      <c r="I248" s="5" t="s">
        <v>218</v>
      </c>
      <c r="J248" s="5" t="n">
        <v>179</v>
      </c>
      <c r="K248" s="5" t="str">
        <f aca="false">IF(J248="","no","yes")</f>
        <v>yes</v>
      </c>
      <c r="L248" s="5"/>
      <c r="M248" s="7" t="n">
        <f aca="false">IF(L248="",0,IF(L248="Gold",0.5,IF(L248="Platinum",1,IF(L248="Diamond",10,IF(ISNUMBER(FIND("×",L248)),VALUE(LEFT(L248,FIND("×",L248)-1)),0)))))</f>
        <v>0</v>
      </c>
      <c r="N248" s="5" t="s">
        <v>1119</v>
      </c>
      <c r="O248" s="5"/>
    </row>
    <row r="249" customFormat="false" ht="15" hidden="false" customHeight="false" outlineLevel="0" collapsed="false">
      <c r="A249" s="5" t="s">
        <v>1140</v>
      </c>
      <c r="B249" s="5" t="s">
        <v>155</v>
      </c>
      <c r="C249" s="5" t="s">
        <v>1141</v>
      </c>
      <c r="D249" s="5" t="s">
        <v>1142</v>
      </c>
      <c r="E249" s="8" t="n">
        <f aca="false">VALUE(LEFT(D249,4))</f>
        <v>2008</v>
      </c>
      <c r="F249" s="6" t="n">
        <f aca="false">IF(LEN(D249)=10,DATE(VALUE(LEFT(D249,4)),VALUE(MID(D249,6,2)),VALUE(RIGHT(D249,2))),IF(LEN(D249)=7,DATE(VALUE(LEFT(D249,4)),VALUE(MID(D249,6,2)),15),DATE(VALUE(LEFT(D249,4)),7,1)))</f>
        <v>39728</v>
      </c>
      <c r="G249" s="6" t="n">
        <f aca="false">INDEX(Acts!$D:$D,MATCH(B249,Acts!$B:$B,0))</f>
        <v>29642</v>
      </c>
      <c r="H249" s="5" t="str">
        <f aca="false">IF(F249&gt;G249,"yes","no")</f>
        <v>yes</v>
      </c>
      <c r="I249" s="5" t="s">
        <v>218</v>
      </c>
      <c r="J249" s="5" t="n">
        <v>32</v>
      </c>
      <c r="K249" s="5" t="str">
        <f aca="false">IF(J249="","no","yes")</f>
        <v>yes</v>
      </c>
      <c r="L249" s="5"/>
      <c r="M249" s="7" t="n">
        <f aca="false">IF(L249="",0,IF(L249="Gold",0.5,IF(L249="Platinum",1,IF(L249="Diamond",10,IF(ISNUMBER(FIND("×",L249)),VALUE(LEFT(L249,FIND("×",L249)-1)),0)))))</f>
        <v>0</v>
      </c>
      <c r="N249" s="5" t="s">
        <v>1119</v>
      </c>
      <c r="O249" s="5"/>
    </row>
    <row r="250" customFormat="false" ht="15" hidden="false" customHeight="false" outlineLevel="0" collapsed="false">
      <c r="A250" s="5" t="s">
        <v>1143</v>
      </c>
      <c r="B250" s="5" t="s">
        <v>155</v>
      </c>
      <c r="C250" s="5" t="s">
        <v>1144</v>
      </c>
      <c r="D250" s="5" t="s">
        <v>1145</v>
      </c>
      <c r="E250" s="8" t="n">
        <f aca="false">VALUE(LEFT(D250,4))</f>
        <v>2016</v>
      </c>
      <c r="F250" s="6" t="n">
        <f aca="false">IF(LEN(D250)=10,DATE(VALUE(LEFT(D250,4)),VALUE(MID(D250,6,2)),VALUE(RIGHT(D250,2))),IF(LEN(D250)=7,DATE(VALUE(LEFT(D250,4)),VALUE(MID(D250,6,2)),15),DATE(VALUE(LEFT(D250,4)),7,1)))</f>
        <v>42664</v>
      </c>
      <c r="G250" s="6" t="n">
        <f aca="false">INDEX(Acts!$D:$D,MATCH(B250,Acts!$B:$B,0))</f>
        <v>29642</v>
      </c>
      <c r="H250" s="5" t="str">
        <f aca="false">IF(F250&gt;G250,"yes","no")</f>
        <v>yes</v>
      </c>
      <c r="I250" s="5" t="s">
        <v>218</v>
      </c>
      <c r="J250" s="5" t="n">
        <v>150</v>
      </c>
      <c r="K250" s="5" t="str">
        <f aca="false">IF(J250="","no","yes")</f>
        <v>yes</v>
      </c>
      <c r="L250" s="5"/>
      <c r="M250" s="7" t="n">
        <f aca="false">IF(L250="",0,IF(L250="Gold",0.5,IF(L250="Platinum",1,IF(L250="Diamond",10,IF(ISNUMBER(FIND("×",L250)),VALUE(LEFT(L250,FIND("×",L250)-1)),0)))))</f>
        <v>0</v>
      </c>
      <c r="N250" s="5" t="s">
        <v>1119</v>
      </c>
      <c r="O250" s="5"/>
    </row>
    <row r="251" customFormat="false" ht="15" hidden="false" customHeight="false" outlineLevel="0" collapsed="false">
      <c r="A251" s="5" t="s">
        <v>1146</v>
      </c>
      <c r="B251" s="5" t="s">
        <v>155</v>
      </c>
      <c r="C251" s="5" t="s">
        <v>1147</v>
      </c>
      <c r="D251" s="5" t="s">
        <v>1148</v>
      </c>
      <c r="E251" s="8" t="n">
        <f aca="false">VALUE(LEFT(D251,4))</f>
        <v>2020</v>
      </c>
      <c r="F251" s="6" t="n">
        <f aca="false">IF(LEN(D251)=10,DATE(VALUE(LEFT(D251,4)),VALUE(MID(D251,6,2)),VALUE(RIGHT(D251,2))),IF(LEN(D251)=7,DATE(VALUE(LEFT(D251,4)),VALUE(MID(D251,6,2)),15),DATE(VALUE(LEFT(D251,4)),7,1)))</f>
        <v>44029</v>
      </c>
      <c r="G251" s="6" t="n">
        <f aca="false">INDEX(Acts!$D:$D,MATCH(B251,Acts!$B:$B,0))</f>
        <v>29642</v>
      </c>
      <c r="H251" s="5" t="str">
        <f aca="false">IF(F251&gt;G251,"yes","no")</f>
        <v>yes</v>
      </c>
      <c r="I251" s="5" t="s">
        <v>230</v>
      </c>
      <c r="J251" s="5"/>
      <c r="K251" s="5" t="str">
        <f aca="false">IF(J251="","no","yes")</f>
        <v>no</v>
      </c>
      <c r="L251" s="5"/>
      <c r="M251" s="7" t="n">
        <f aca="false">IF(L251="",0,IF(L251="Gold",0.5,IF(L251="Platinum",1,IF(L251="Diamond",10,IF(ISNUMBER(FIND("×",L251)),VALUE(LEFT(L251,FIND("×",L251)-1)),0)))))</f>
        <v>0</v>
      </c>
      <c r="N251" s="5" t="s">
        <v>1119</v>
      </c>
      <c r="O251" s="5" t="s">
        <v>1149</v>
      </c>
    </row>
    <row r="252" customFormat="false" ht="15" hidden="false" customHeight="false" outlineLevel="0" collapsed="false">
      <c r="A252" s="5" t="s">
        <v>1150</v>
      </c>
      <c r="B252" s="5" t="s">
        <v>155</v>
      </c>
      <c r="C252" s="5" t="s">
        <v>1151</v>
      </c>
      <c r="D252" s="5" t="s">
        <v>1152</v>
      </c>
      <c r="E252" s="8" t="n">
        <f aca="false">VALUE(LEFT(D252,4))</f>
        <v>2023</v>
      </c>
      <c r="F252" s="6" t="n">
        <f aca="false">IF(LEN(D252)=10,DATE(VALUE(LEFT(D252,4)),VALUE(MID(D252,6,2)),VALUE(RIGHT(D252,2))),IF(LEN(D252)=7,DATE(VALUE(LEFT(D252,4)),VALUE(MID(D252,6,2)),15),DATE(VALUE(LEFT(D252,4)),7,1)))</f>
        <v>45184</v>
      </c>
      <c r="G252" s="6" t="n">
        <f aca="false">INDEX(Acts!$D:$D,MATCH(B252,Acts!$B:$B,0))</f>
        <v>29642</v>
      </c>
      <c r="H252" s="5" t="str">
        <f aca="false">IF(F252&gt;G252,"yes","no")</f>
        <v>yes</v>
      </c>
      <c r="I252" s="5" t="s">
        <v>230</v>
      </c>
      <c r="J252" s="5"/>
      <c r="K252" s="5" t="str">
        <f aca="false">IF(J252="","no","yes")</f>
        <v>no</v>
      </c>
      <c r="L252" s="5"/>
      <c r="M252" s="7" t="n">
        <f aca="false">IF(L252="",0,IF(L252="Gold",0.5,IF(L252="Platinum",1,IF(L252="Diamond",10,IF(ISNUMBER(FIND("×",L252)),VALUE(LEFT(L252,FIND("×",L252)-1)),0)))))</f>
        <v>0</v>
      </c>
      <c r="N252" s="5" t="s">
        <v>1119</v>
      </c>
      <c r="O252" s="5" t="s">
        <v>1153</v>
      </c>
    </row>
    <row r="253" customFormat="false" ht="15" hidden="false" customHeight="false" outlineLevel="0" collapsed="false">
      <c r="A253" s="5" t="s">
        <v>1154</v>
      </c>
      <c r="B253" s="5" t="s">
        <v>158</v>
      </c>
      <c r="C253" s="5" t="s">
        <v>1155</v>
      </c>
      <c r="D253" s="5" t="s">
        <v>1156</v>
      </c>
      <c r="E253" s="8" t="n">
        <f aca="false">VALUE(LEFT(D253,4))</f>
        <v>1987</v>
      </c>
      <c r="F253" s="6" t="n">
        <f aca="false">IF(LEN(D253)=10,DATE(VALUE(LEFT(D253,4)),VALUE(MID(D253,6,2)),VALUE(RIGHT(D253,2))),IF(LEN(D253)=7,DATE(VALUE(LEFT(D253,4)),VALUE(MID(D253,6,2)),15),DATE(VALUE(LEFT(D253,4)),7,1)))</f>
        <v>32097</v>
      </c>
      <c r="G253" s="6" t="n">
        <f aca="false">INDEX(Acts!$D:$D,MATCH(B253,Acts!$B:$B,0))</f>
        <v>32561</v>
      </c>
      <c r="H253" s="5" t="str">
        <f aca="false">IF(F253&gt;G253,"yes","no")</f>
        <v>no</v>
      </c>
      <c r="I253" s="5" t="s">
        <v>218</v>
      </c>
      <c r="J253" s="5" t="n">
        <v>10</v>
      </c>
      <c r="K253" s="5" t="str">
        <f aca="false">IF(J253="","no","yes")</f>
        <v>yes</v>
      </c>
      <c r="L253" s="5" t="s">
        <v>510</v>
      </c>
      <c r="M253" s="7" t="n">
        <f aca="false">IF(L253="",0,IF(L253="Gold",0.5,IF(L253="Platinum",1,IF(L253="Diamond",10,IF(ISNUMBER(FIND("×",L253)),VALUE(LEFT(L253,FIND("×",L253)-1)),0)))))</f>
        <v>2</v>
      </c>
      <c r="N253" s="5" t="s">
        <v>1157</v>
      </c>
      <c r="O253" s="5"/>
    </row>
    <row r="254" customFormat="false" ht="15" hidden="false" customHeight="false" outlineLevel="0" collapsed="false">
      <c r="A254" s="5" t="s">
        <v>1158</v>
      </c>
      <c r="B254" s="5" t="s">
        <v>158</v>
      </c>
      <c r="C254" s="5" t="s">
        <v>1159</v>
      </c>
      <c r="D254" s="5" t="s">
        <v>1160</v>
      </c>
      <c r="E254" s="8" t="n">
        <f aca="false">VALUE(LEFT(D254,4))</f>
        <v>1988</v>
      </c>
      <c r="F254" s="6" t="n">
        <f aca="false">IF(LEN(D254)=10,DATE(VALUE(LEFT(D254,4)),VALUE(MID(D254,6,2)),VALUE(RIGHT(D254,2))),IF(LEN(D254)=7,DATE(VALUE(LEFT(D254,4)),VALUE(MID(D254,6,2)),15),DATE(VALUE(LEFT(D254,4)),7,1)))</f>
        <v>32473</v>
      </c>
      <c r="G254" s="6" t="n">
        <f aca="false">INDEX(Acts!$D:$D,MATCH(B254,Acts!$B:$B,0))</f>
        <v>32561</v>
      </c>
      <c r="H254" s="5" t="str">
        <f aca="false">IF(F254&gt;G254,"yes","no")</f>
        <v>no</v>
      </c>
      <c r="I254" s="5" t="s">
        <v>218</v>
      </c>
      <c r="J254" s="5" t="n">
        <v>19</v>
      </c>
      <c r="K254" s="5" t="str">
        <f aca="false">IF(J254="","no","yes")</f>
        <v>yes</v>
      </c>
      <c r="L254" s="5" t="s">
        <v>271</v>
      </c>
      <c r="M254" s="7" t="n">
        <f aca="false">IF(L254="",0,IF(L254="Gold",0.5,IF(L254="Platinum",1,IF(L254="Diamond",10,IF(ISNUMBER(FIND("×",L254)),VALUE(LEFT(L254,FIND("×",L254)-1)),0)))))</f>
        <v>0.5</v>
      </c>
      <c r="N254" s="5" t="s">
        <v>1157</v>
      </c>
      <c r="O254" s="5"/>
    </row>
    <row r="255" customFormat="false" ht="15" hidden="false" customHeight="false" outlineLevel="0" collapsed="false">
      <c r="A255" s="5" t="s">
        <v>1161</v>
      </c>
      <c r="B255" s="5" t="s">
        <v>158</v>
      </c>
      <c r="C255" s="5" t="s">
        <v>1162</v>
      </c>
      <c r="D255" s="5" t="s">
        <v>1163</v>
      </c>
      <c r="E255" s="8" t="n">
        <f aca="false">VALUE(LEFT(D255,4))</f>
        <v>1991</v>
      </c>
      <c r="F255" s="6" t="n">
        <f aca="false">IF(LEN(D255)=10,DATE(VALUE(LEFT(D255,4)),VALUE(MID(D255,6,2)),VALUE(RIGHT(D255,2))),IF(LEN(D255)=7,DATE(VALUE(LEFT(D255,4)),VALUE(MID(D255,6,2)),15),DATE(VALUE(LEFT(D255,4)),7,1)))</f>
        <v>33287</v>
      </c>
      <c r="G255" s="6" t="n">
        <f aca="false">INDEX(Acts!$D:$D,MATCH(B255,Acts!$B:$B,0))</f>
        <v>32561</v>
      </c>
      <c r="H255" s="5" t="str">
        <f aca="false">IF(F255&gt;G255,"yes","no")</f>
        <v>yes</v>
      </c>
      <c r="I255" s="5" t="s">
        <v>218</v>
      </c>
      <c r="J255" s="5" t="n">
        <v>31</v>
      </c>
      <c r="K255" s="5" t="str">
        <f aca="false">IF(J255="","no","yes")</f>
        <v>yes</v>
      </c>
      <c r="L255" s="5"/>
      <c r="M255" s="7" t="n">
        <f aca="false">IF(L255="",0,IF(L255="Gold",0.5,IF(L255="Platinum",1,IF(L255="Diamond",10,IF(ISNUMBER(FIND("×",L255)),VALUE(LEFT(L255,FIND("×",L255)-1)),0)))))</f>
        <v>0</v>
      </c>
      <c r="N255" s="5" t="s">
        <v>1157</v>
      </c>
      <c r="O255" s="5"/>
    </row>
    <row r="256" customFormat="false" ht="15" hidden="false" customHeight="false" outlineLevel="0" collapsed="false">
      <c r="A256" s="5" t="s">
        <v>1164</v>
      </c>
      <c r="B256" s="5" t="s">
        <v>158</v>
      </c>
      <c r="C256" s="5" t="s">
        <v>1165</v>
      </c>
      <c r="D256" s="5" t="s">
        <v>1166</v>
      </c>
      <c r="E256" s="8" t="n">
        <f aca="false">VALUE(LEFT(D256,4))</f>
        <v>1993</v>
      </c>
      <c r="F256" s="6" t="n">
        <f aca="false">IF(LEN(D256)=10,DATE(VALUE(LEFT(D256,4)),VALUE(MID(D256,6,2)),VALUE(RIGHT(D256,2))),IF(LEN(D256)=7,DATE(VALUE(LEFT(D256,4)),VALUE(MID(D256,6,2)),15),DATE(VALUE(LEFT(D256,4)),7,1)))</f>
        <v>34227</v>
      </c>
      <c r="G256" s="6" t="n">
        <f aca="false">INDEX(Acts!$D:$D,MATCH(B256,Acts!$B:$B,0))</f>
        <v>32561</v>
      </c>
      <c r="H256" s="5" t="str">
        <f aca="false">IF(F256&gt;G256,"yes","no")</f>
        <v>yes</v>
      </c>
      <c r="I256" s="5" t="s">
        <v>218</v>
      </c>
      <c r="J256" s="5" t="n">
        <v>185</v>
      </c>
      <c r="K256" s="5" t="str">
        <f aca="false">IF(J256="","no","yes")</f>
        <v>yes</v>
      </c>
      <c r="L256" s="5"/>
      <c r="M256" s="7" t="n">
        <f aca="false">IF(L256="",0,IF(L256="Gold",0.5,IF(L256="Platinum",1,IF(L256="Diamond",10,IF(ISNUMBER(FIND("×",L256)),VALUE(LEFT(L256,FIND("×",L256)-1)),0)))))</f>
        <v>0</v>
      </c>
      <c r="N256" s="5" t="s">
        <v>1157</v>
      </c>
      <c r="O256" s="5"/>
    </row>
    <row r="257" customFormat="false" ht="15" hidden="false" customHeight="false" outlineLevel="0" collapsed="false">
      <c r="A257" s="5" t="s">
        <v>1167</v>
      </c>
      <c r="B257" s="5" t="s">
        <v>158</v>
      </c>
      <c r="C257" s="5" t="s">
        <v>1168</v>
      </c>
      <c r="D257" s="5" t="s">
        <v>1169</v>
      </c>
      <c r="E257" s="8" t="n">
        <f aca="false">VALUE(LEFT(D257,4))</f>
        <v>2001</v>
      </c>
      <c r="F257" s="6" t="n">
        <f aca="false">IF(LEN(D257)=10,DATE(VALUE(LEFT(D257,4)),VALUE(MID(D257,6,2)),VALUE(RIGHT(D257,2))),IF(LEN(D257)=7,DATE(VALUE(LEFT(D257,4)),VALUE(MID(D257,6,2)),15),DATE(VALUE(LEFT(D257,4)),7,1)))</f>
        <v>37228</v>
      </c>
      <c r="G257" s="6" t="n">
        <f aca="false">INDEX(Acts!$D:$D,MATCH(B257,Acts!$B:$B,0))</f>
        <v>32561</v>
      </c>
      <c r="H257" s="5" t="str">
        <f aca="false">IF(F257&gt;G257,"yes","no")</f>
        <v>yes</v>
      </c>
      <c r="I257" s="5" t="s">
        <v>240</v>
      </c>
      <c r="J257" s="5"/>
      <c r="K257" s="5" t="str">
        <f aca="false">IF(J257="","no","yes")</f>
        <v>no</v>
      </c>
      <c r="L257" s="5"/>
      <c r="M257" s="7" t="n">
        <f aca="false">IF(L257="",0,IF(L257="Gold",0.5,IF(L257="Platinum",1,IF(L257="Diamond",10,IF(ISNUMBER(FIND("×",L257)),VALUE(LEFT(L257,FIND("×",L257)-1)),0)))))</f>
        <v>0</v>
      </c>
      <c r="N257" s="5" t="s">
        <v>1170</v>
      </c>
      <c r="O257" s="5" t="s">
        <v>1171</v>
      </c>
    </row>
    <row r="258" customFormat="false" ht="15" hidden="false" customHeight="false" outlineLevel="0" collapsed="false">
      <c r="A258" s="5" t="s">
        <v>1172</v>
      </c>
      <c r="B258" s="5" t="s">
        <v>158</v>
      </c>
      <c r="C258" s="5" t="s">
        <v>1173</v>
      </c>
      <c r="D258" s="5" t="s">
        <v>1174</v>
      </c>
      <c r="E258" s="8" t="n">
        <f aca="false">VALUE(LEFT(D258,4))</f>
        <v>2005</v>
      </c>
      <c r="F258" s="6" t="n">
        <f aca="false">IF(LEN(D258)=10,DATE(VALUE(LEFT(D258,4)),VALUE(MID(D258,6,2)),VALUE(RIGHT(D258,2))),IF(LEN(D258)=7,DATE(VALUE(LEFT(D258,4)),VALUE(MID(D258,6,2)),15),DATE(VALUE(LEFT(D258,4)),7,1)))</f>
        <v>38642</v>
      </c>
      <c r="G258" s="6" t="n">
        <f aca="false">INDEX(Acts!$D:$D,MATCH(B258,Acts!$B:$B,0))</f>
        <v>32561</v>
      </c>
      <c r="H258" s="5" t="str">
        <f aca="false">IF(F258&gt;G258,"yes","no")</f>
        <v>yes</v>
      </c>
      <c r="I258" s="5" t="s">
        <v>240</v>
      </c>
      <c r="J258" s="5"/>
      <c r="K258" s="5" t="str">
        <f aca="false">IF(J258="","no","yes")</f>
        <v>no</v>
      </c>
      <c r="L258" s="5"/>
      <c r="M258" s="7" t="n">
        <f aca="false">IF(L258="",0,IF(L258="Gold",0.5,IF(L258="Platinum",1,IF(L258="Diamond",10,IF(ISNUMBER(FIND("×",L258)),VALUE(LEFT(L258,FIND("×",L258)-1)),0)))))</f>
        <v>0</v>
      </c>
      <c r="N258" s="5" t="s">
        <v>1170</v>
      </c>
      <c r="O258" s="5" t="s">
        <v>1175</v>
      </c>
    </row>
    <row r="259" customFormat="false" ht="15" hidden="false" customHeight="false" outlineLevel="0" collapsed="false">
      <c r="A259" s="5" t="s">
        <v>1176</v>
      </c>
      <c r="B259" s="5" t="s">
        <v>158</v>
      </c>
      <c r="C259" s="5" t="s">
        <v>1177</v>
      </c>
      <c r="D259" s="5" t="s">
        <v>1178</v>
      </c>
      <c r="E259" s="8" t="n">
        <f aca="false">VALUE(LEFT(D259,4))</f>
        <v>2016</v>
      </c>
      <c r="F259" s="6" t="n">
        <f aca="false">IF(LEN(D259)=10,DATE(VALUE(LEFT(D259,4)),VALUE(MID(D259,6,2)),VALUE(RIGHT(D259,2))),IF(LEN(D259)=7,DATE(VALUE(LEFT(D259,4)),VALUE(MID(D259,6,2)),15),DATE(VALUE(LEFT(D259,4)),7,1)))</f>
        <v>42531</v>
      </c>
      <c r="G259" s="6" t="n">
        <f aca="false">INDEX(Acts!$D:$D,MATCH(B259,Acts!$B:$B,0))</f>
        <v>32561</v>
      </c>
      <c r="H259" s="5" t="str">
        <f aca="false">IF(F259&gt;G259,"yes","no")</f>
        <v>yes</v>
      </c>
      <c r="I259" s="5" t="s">
        <v>218</v>
      </c>
      <c r="J259" s="5"/>
      <c r="K259" s="5" t="str">
        <f aca="false">IF(J259="","no","yes")</f>
        <v>no</v>
      </c>
      <c r="L259" s="5"/>
      <c r="M259" s="7" t="n">
        <f aca="false">IF(L259="",0,IF(L259="Gold",0.5,IF(L259="Platinum",1,IF(L259="Diamond",10,IF(ISNUMBER(FIND("×",L259)),VALUE(LEFT(L259,FIND("×",L259)-1)),0)))))</f>
        <v>0</v>
      </c>
      <c r="N259" s="5" t="s">
        <v>1170</v>
      </c>
      <c r="O259" s="5" t="s">
        <v>1179</v>
      </c>
    </row>
    <row r="260" customFormat="false" ht="15" hidden="false" customHeight="false" outlineLevel="0" collapsed="false">
      <c r="A260" s="5" t="s">
        <v>1180</v>
      </c>
      <c r="B260" s="5" t="s">
        <v>158</v>
      </c>
      <c r="C260" s="5" t="s">
        <v>1181</v>
      </c>
      <c r="D260" s="5" t="s">
        <v>1182</v>
      </c>
      <c r="E260" s="8" t="n">
        <f aca="false">VALUE(LEFT(D260,4))</f>
        <v>2018</v>
      </c>
      <c r="F260" s="6" t="n">
        <f aca="false">IF(LEN(D260)=10,DATE(VALUE(LEFT(D260,4)),VALUE(MID(D260,6,2)),VALUE(RIGHT(D260,2))),IF(LEN(D260)=7,DATE(VALUE(LEFT(D260,4)),VALUE(MID(D260,6,2)),15),DATE(VALUE(LEFT(D260,4)),7,1)))</f>
        <v>43294</v>
      </c>
      <c r="G260" s="6" t="n">
        <f aca="false">INDEX(Acts!$D:$D,MATCH(B260,Acts!$B:$B,0))</f>
        <v>32561</v>
      </c>
      <c r="H260" s="5" t="str">
        <f aca="false">IF(F260&gt;G260,"yes","no")</f>
        <v>yes</v>
      </c>
      <c r="I260" s="5" t="s">
        <v>230</v>
      </c>
      <c r="J260" s="5"/>
      <c r="K260" s="5" t="str">
        <f aca="false">IF(J260="","no","yes")</f>
        <v>no</v>
      </c>
      <c r="L260" s="5"/>
      <c r="M260" s="7" t="n">
        <f aca="false">IF(L260="",0,IF(L260="Gold",0.5,IF(L260="Platinum",1,IF(L260="Diamond",10,IF(ISNUMBER(FIND("×",L260)),VALUE(LEFT(L260,FIND("×",L260)-1)),0)))))</f>
        <v>0</v>
      </c>
      <c r="N260" s="5" t="s">
        <v>1157</v>
      </c>
      <c r="O260" s="5" t="s">
        <v>1183</v>
      </c>
    </row>
    <row r="261" customFormat="false" ht="15" hidden="false" customHeight="false" outlineLevel="0" collapsed="false">
      <c r="A261" s="5" t="s">
        <v>1184</v>
      </c>
      <c r="B261" s="5" t="s">
        <v>158</v>
      </c>
      <c r="C261" s="5" t="s">
        <v>1185</v>
      </c>
      <c r="D261" s="5" t="s">
        <v>1186</v>
      </c>
      <c r="E261" s="8" t="n">
        <f aca="false">VALUE(LEFT(D261,4))</f>
        <v>2023</v>
      </c>
      <c r="F261" s="6" t="n">
        <f aca="false">IF(LEN(D261)=10,DATE(VALUE(LEFT(D261,4)),VALUE(MID(D261,6,2)),VALUE(RIGHT(D261,2))),IF(LEN(D261)=7,DATE(VALUE(LEFT(D261,4)),VALUE(MID(D261,6,2)),15),DATE(VALUE(LEFT(D261,4)),7,1)))</f>
        <v>45212</v>
      </c>
      <c r="G261" s="6" t="n">
        <f aca="false">INDEX(Acts!$D:$D,MATCH(B261,Acts!$B:$B,0))</f>
        <v>32561</v>
      </c>
      <c r="H261" s="5" t="str">
        <f aca="false">IF(F261&gt;G261,"yes","no")</f>
        <v>yes</v>
      </c>
      <c r="I261" s="5" t="s">
        <v>230</v>
      </c>
      <c r="J261" s="5"/>
      <c r="K261" s="5" t="str">
        <f aca="false">IF(J261="","no","yes")</f>
        <v>no</v>
      </c>
      <c r="L261" s="5"/>
      <c r="M261" s="7" t="n">
        <f aca="false">IF(L261="",0,IF(L261="Gold",0.5,IF(L261="Platinum",1,IF(L261="Diamond",10,IF(ISNUMBER(FIND("×",L261)),VALUE(LEFT(L261,FIND("×",L261)-1)),0)))))</f>
        <v>0</v>
      </c>
      <c r="N261" s="5" t="s">
        <v>1157</v>
      </c>
      <c r="O261" s="5" t="s">
        <v>1187</v>
      </c>
    </row>
    <row r="262" customFormat="false" ht="15" hidden="false" customHeight="false" outlineLevel="0" collapsed="false">
      <c r="A262" s="5" t="s">
        <v>1188</v>
      </c>
      <c r="B262" s="5" t="s">
        <v>161</v>
      </c>
      <c r="C262" s="5" t="s">
        <v>161</v>
      </c>
      <c r="D262" s="5" t="s">
        <v>1189</v>
      </c>
      <c r="E262" s="8" t="n">
        <f aca="false">VALUE(LEFT(D262,4))</f>
        <v>1979</v>
      </c>
      <c r="F262" s="6" t="n">
        <f aca="false">IF(LEN(D262)=10,DATE(VALUE(LEFT(D262,4)),VALUE(MID(D262,6,2)),VALUE(RIGHT(D262,2))),IF(LEN(D262)=7,DATE(VALUE(LEFT(D262,4)),VALUE(MID(D262,6,2)),15),DATE(VALUE(LEFT(D262,4)),7,1)))</f>
        <v>28914</v>
      </c>
      <c r="G262" s="6" t="n">
        <f aca="false">INDEX(Acts!$D:$D,MATCH(B262,Acts!$B:$B,0))</f>
        <v>29278</v>
      </c>
      <c r="H262" s="5" t="str">
        <f aca="false">IF(F262&gt;G262,"yes","no")</f>
        <v>no</v>
      </c>
      <c r="I262" s="5" t="s">
        <v>218</v>
      </c>
      <c r="J262" s="5" t="n">
        <v>3</v>
      </c>
      <c r="K262" s="5" t="str">
        <f aca="false">IF(J262="","no","yes")</f>
        <v>yes</v>
      </c>
      <c r="L262" s="5" t="s">
        <v>219</v>
      </c>
      <c r="M262" s="7" t="n">
        <f aca="false">IF(L262="",0,IF(L262="Gold",0.5,IF(L262="Platinum",1,IF(L262="Diamond",10,IF(ISNUMBER(FIND("×",L262)),VALUE(LEFT(L262,FIND("×",L262)-1)),0)))))</f>
        <v>1</v>
      </c>
      <c r="N262" s="5" t="s">
        <v>1190</v>
      </c>
      <c r="O262" s="5"/>
    </row>
    <row r="263" customFormat="false" ht="15" hidden="false" customHeight="false" outlineLevel="0" collapsed="false">
      <c r="A263" s="5" t="s">
        <v>1191</v>
      </c>
      <c r="B263" s="5" t="s">
        <v>161</v>
      </c>
      <c r="C263" s="5" t="s">
        <v>1192</v>
      </c>
      <c r="D263" s="5" t="s">
        <v>1193</v>
      </c>
      <c r="E263" s="8" t="n">
        <f aca="false">VALUE(LEFT(D263,4))</f>
        <v>1981</v>
      </c>
      <c r="F263" s="6" t="n">
        <f aca="false">IF(LEN(D263)=10,DATE(VALUE(LEFT(D263,4)),VALUE(MID(D263,6,2)),VALUE(RIGHT(D263,2))),IF(LEN(D263)=7,DATE(VALUE(LEFT(D263,4)),VALUE(MID(D263,6,2)),15),DATE(VALUE(LEFT(D263,4)),7,1)))</f>
        <v>29782</v>
      </c>
      <c r="G263" s="6" t="n">
        <f aca="false">INDEX(Acts!$D:$D,MATCH(B263,Acts!$B:$B,0))</f>
        <v>29278</v>
      </c>
      <c r="H263" s="5" t="str">
        <f aca="false">IF(F263&gt;G263,"yes","no")</f>
        <v>yes</v>
      </c>
      <c r="I263" s="5" t="s">
        <v>218</v>
      </c>
      <c r="J263" s="5" t="n">
        <v>5</v>
      </c>
      <c r="K263" s="5" t="str">
        <f aca="false">IF(J263="","no","yes")</f>
        <v>yes</v>
      </c>
      <c r="L263" s="5" t="s">
        <v>271</v>
      </c>
      <c r="M263" s="7" t="n">
        <f aca="false">IF(L263="",0,IF(L263="Gold",0.5,IF(L263="Platinum",1,IF(L263="Diamond",10,IF(ISNUMBER(FIND("×",L263)),VALUE(LEFT(L263,FIND("×",L263)-1)),0)))))</f>
        <v>0.5</v>
      </c>
      <c r="N263" s="5" t="s">
        <v>1190</v>
      </c>
      <c r="O263" s="5"/>
    </row>
    <row r="264" customFormat="false" ht="15" hidden="false" customHeight="false" outlineLevel="0" collapsed="false">
      <c r="A264" s="5" t="s">
        <v>1194</v>
      </c>
      <c r="B264" s="5" t="s">
        <v>161</v>
      </c>
      <c r="C264" s="5" t="s">
        <v>1195</v>
      </c>
      <c r="D264" s="5" t="s">
        <v>1196</v>
      </c>
      <c r="E264" s="8" t="n">
        <f aca="false">VALUE(LEFT(D264,4))</f>
        <v>1984</v>
      </c>
      <c r="F264" s="6" t="n">
        <f aca="false">IF(LEN(D264)=10,DATE(VALUE(LEFT(D264,4)),VALUE(MID(D264,6,2)),VALUE(RIGHT(D264,2))),IF(LEN(D264)=7,DATE(VALUE(LEFT(D264,4)),VALUE(MID(D264,6,2)),15),DATE(VALUE(LEFT(D264,4)),7,1)))</f>
        <v>30937</v>
      </c>
      <c r="G264" s="6" t="n">
        <f aca="false">INDEX(Acts!$D:$D,MATCH(B264,Acts!$B:$B,0))</f>
        <v>29278</v>
      </c>
      <c r="H264" s="5" t="str">
        <f aca="false">IF(F264&gt;G264,"yes","no")</f>
        <v>yes</v>
      </c>
      <c r="I264" s="5" t="s">
        <v>218</v>
      </c>
      <c r="J264" s="5" t="n">
        <v>44</v>
      </c>
      <c r="K264" s="5" t="str">
        <f aca="false">IF(J264="","no","yes")</f>
        <v>yes</v>
      </c>
      <c r="L264" s="5"/>
      <c r="M264" s="7" t="n">
        <f aca="false">IF(L264="",0,IF(L264="Gold",0.5,IF(L264="Platinum",1,IF(L264="Diamond",10,IF(ISNUMBER(FIND("×",L264)),VALUE(LEFT(L264,FIND("×",L264)-1)),0)))))</f>
        <v>0</v>
      </c>
      <c r="N264" s="5" t="s">
        <v>1190</v>
      </c>
      <c r="O264" s="5"/>
    </row>
    <row r="265" customFormat="false" ht="15" hidden="false" customHeight="false" outlineLevel="0" collapsed="false">
      <c r="A265" s="5" t="s">
        <v>1197</v>
      </c>
      <c r="B265" s="5" t="s">
        <v>161</v>
      </c>
      <c r="C265" s="5" t="s">
        <v>1198</v>
      </c>
      <c r="D265" s="5" t="s">
        <v>1199</v>
      </c>
      <c r="E265" s="8" t="n">
        <f aca="false">VALUE(LEFT(D265,4))</f>
        <v>1989</v>
      </c>
      <c r="F265" s="6" t="n">
        <f aca="false">IF(LEN(D265)=10,DATE(VALUE(LEFT(D265,4)),VALUE(MID(D265,6,2)),VALUE(RIGHT(D265,2))),IF(LEN(D265)=7,DATE(VALUE(LEFT(D265,4)),VALUE(MID(D265,6,2)),15),DATE(VALUE(LEFT(D265,4)),7,1)))</f>
        <v>32777</v>
      </c>
      <c r="G265" s="6" t="n">
        <f aca="false">INDEX(Acts!$D:$D,MATCH(B265,Acts!$B:$B,0))</f>
        <v>29278</v>
      </c>
      <c r="H265" s="5" t="str">
        <f aca="false">IF(F265&gt;G265,"yes","no")</f>
        <v>yes</v>
      </c>
      <c r="I265" s="5" t="s">
        <v>218</v>
      </c>
      <c r="J265" s="5" t="n">
        <v>39</v>
      </c>
      <c r="K265" s="5" t="str">
        <f aca="false">IF(J265="","no","yes")</f>
        <v>yes</v>
      </c>
      <c r="L265" s="5" t="s">
        <v>271</v>
      </c>
      <c r="M265" s="7" t="n">
        <f aca="false">IF(L265="",0,IF(L265="Gold",0.5,IF(L265="Platinum",1,IF(L265="Diamond",10,IF(ISNUMBER(FIND("×",L265)),VALUE(LEFT(L265,FIND("×",L265)-1)),0)))))</f>
        <v>0.5</v>
      </c>
      <c r="N265" s="5" t="s">
        <v>1190</v>
      </c>
      <c r="O265" s="5"/>
    </row>
    <row r="266" customFormat="false" ht="15" hidden="false" customHeight="false" outlineLevel="0" collapsed="false">
      <c r="A266" s="5" t="s">
        <v>1200</v>
      </c>
      <c r="B266" s="5" t="s">
        <v>161</v>
      </c>
      <c r="C266" s="5" t="s">
        <v>1201</v>
      </c>
      <c r="D266" s="5" t="s">
        <v>1202</v>
      </c>
      <c r="E266" s="8" t="n">
        <f aca="false">VALUE(LEFT(D266,4))</f>
        <v>1991</v>
      </c>
      <c r="F266" s="6" t="n">
        <f aca="false">IF(LEN(D266)=10,DATE(VALUE(LEFT(D266,4)),VALUE(MID(D266,6,2)),VALUE(RIGHT(D266,2))),IF(LEN(D266)=7,DATE(VALUE(LEFT(D266,4)),VALUE(MID(D266,6,2)),15),DATE(VALUE(LEFT(D266,4)),7,1)))</f>
        <v>33505</v>
      </c>
      <c r="G266" s="6" t="n">
        <f aca="false">INDEX(Acts!$D:$D,MATCH(B266,Acts!$B:$B,0))</f>
        <v>29278</v>
      </c>
      <c r="H266" s="5" t="str">
        <f aca="false">IF(F266&gt;G266,"yes","no")</f>
        <v>yes</v>
      </c>
      <c r="I266" s="5" t="s">
        <v>218</v>
      </c>
      <c r="J266" s="5" t="n">
        <v>121</v>
      </c>
      <c r="K266" s="5" t="str">
        <f aca="false">IF(J266="","no","yes")</f>
        <v>yes</v>
      </c>
      <c r="L266" s="5"/>
      <c r="M266" s="7" t="n">
        <f aca="false">IF(L266="",0,IF(L266="Gold",0.5,IF(L266="Platinum",1,IF(L266="Diamond",10,IF(ISNUMBER(FIND("×",L266)),VALUE(LEFT(L266,FIND("×",L266)-1)),0)))))</f>
        <v>0</v>
      </c>
      <c r="N266" s="5" t="s">
        <v>1190</v>
      </c>
      <c r="O266" s="5"/>
    </row>
    <row r="267" customFormat="false" ht="15" hidden="false" customHeight="false" outlineLevel="0" collapsed="false">
      <c r="A267" s="5" t="s">
        <v>1203</v>
      </c>
      <c r="B267" s="5" t="s">
        <v>161</v>
      </c>
      <c r="C267" s="5" t="s">
        <v>1204</v>
      </c>
      <c r="D267" s="5" t="s">
        <v>1205</v>
      </c>
      <c r="E267" s="8" t="n">
        <f aca="false">VALUE(LEFT(D267,4))</f>
        <v>1993</v>
      </c>
      <c r="F267" s="6" t="n">
        <f aca="false">IF(LEN(D267)=10,DATE(VALUE(LEFT(D267,4)),VALUE(MID(D267,6,2)),VALUE(RIGHT(D267,2))),IF(LEN(D267)=7,DATE(VALUE(LEFT(D267,4)),VALUE(MID(D267,6,2)),15),DATE(VALUE(LEFT(D267,4)),7,1)))</f>
        <v>34226</v>
      </c>
      <c r="G267" s="6" t="n">
        <f aca="false">INDEX(Acts!$D:$D,MATCH(B267,Acts!$B:$B,0))</f>
        <v>29278</v>
      </c>
      <c r="H267" s="5" t="str">
        <f aca="false">IF(F267&gt;G267,"yes","no")</f>
        <v>yes</v>
      </c>
      <c r="I267" s="5" t="s">
        <v>218</v>
      </c>
      <c r="J267" s="5" t="n">
        <v>111</v>
      </c>
      <c r="K267" s="5" t="str">
        <f aca="false">IF(J267="","no","yes")</f>
        <v>yes</v>
      </c>
      <c r="L267" s="5"/>
      <c r="M267" s="7" t="n">
        <f aca="false">IF(L267="",0,IF(L267="Gold",0.5,IF(L267="Platinum",1,IF(L267="Diamond",10,IF(ISNUMBER(FIND("×",L267)),VALUE(LEFT(L267,FIND("×",L267)-1)),0)))))</f>
        <v>0</v>
      </c>
      <c r="N267" s="5" t="s">
        <v>1190</v>
      </c>
      <c r="O267" s="5"/>
    </row>
    <row r="268" customFormat="false" ht="15" hidden="false" customHeight="false" outlineLevel="0" collapsed="false">
      <c r="A268" s="5" t="s">
        <v>1206</v>
      </c>
      <c r="B268" s="5" t="s">
        <v>161</v>
      </c>
      <c r="C268" s="5" t="s">
        <v>1207</v>
      </c>
      <c r="D268" s="5" t="s">
        <v>1208</v>
      </c>
      <c r="E268" s="8" t="n">
        <f aca="false">VALUE(LEFT(D268,4))</f>
        <v>1997</v>
      </c>
      <c r="F268" s="6" t="n">
        <f aca="false">IF(LEN(D268)=10,DATE(VALUE(LEFT(D268,4)),VALUE(MID(D268,6,2)),VALUE(RIGHT(D268,2))),IF(LEN(D268)=7,DATE(VALUE(LEFT(D268,4)),VALUE(MID(D268,6,2)),15),DATE(VALUE(LEFT(D268,4)),7,1)))</f>
        <v>35598</v>
      </c>
      <c r="G268" s="6" t="n">
        <f aca="false">INDEX(Acts!$D:$D,MATCH(B268,Acts!$B:$B,0))</f>
        <v>29278</v>
      </c>
      <c r="H268" s="5" t="str">
        <f aca="false">IF(F268&gt;G268,"yes","no")</f>
        <v>yes</v>
      </c>
      <c r="I268" s="5" t="s">
        <v>218</v>
      </c>
      <c r="J268" s="5" t="n">
        <v>159</v>
      </c>
      <c r="K268" s="5" t="str">
        <f aca="false">IF(J268="","no","yes")</f>
        <v>yes</v>
      </c>
      <c r="L268" s="5"/>
      <c r="M268" s="7" t="n">
        <f aca="false">IF(L268="",0,IF(L268="Gold",0.5,IF(L268="Platinum",1,IF(L268="Diamond",10,IF(ISNUMBER(FIND("×",L268)),VALUE(LEFT(L268,FIND("×",L268)-1)),0)))))</f>
        <v>0</v>
      </c>
      <c r="N268" s="5" t="s">
        <v>1190</v>
      </c>
      <c r="O268" s="5"/>
    </row>
    <row r="269" customFormat="false" ht="15" hidden="false" customHeight="false" outlineLevel="0" collapsed="false">
      <c r="A269" s="5" t="s">
        <v>1209</v>
      </c>
      <c r="B269" s="5" t="s">
        <v>161</v>
      </c>
      <c r="C269" s="5" t="s">
        <v>1210</v>
      </c>
      <c r="D269" s="5" t="s">
        <v>1211</v>
      </c>
      <c r="E269" s="8" t="n">
        <f aca="false">VALUE(LEFT(D269,4))</f>
        <v>2000</v>
      </c>
      <c r="F269" s="6" t="n">
        <f aca="false">IF(LEN(D269)=10,DATE(VALUE(LEFT(D269,4)),VALUE(MID(D269,6,2)),VALUE(RIGHT(D269,2))),IF(LEN(D269)=7,DATE(VALUE(LEFT(D269,4)),VALUE(MID(D269,6,2)),15),DATE(VALUE(LEFT(D269,4)),7,1)))</f>
        <v>36781</v>
      </c>
      <c r="G269" s="6" t="n">
        <f aca="false">INDEX(Acts!$D:$D,MATCH(B269,Acts!$B:$B,0))</f>
        <v>29278</v>
      </c>
      <c r="H269" s="5" t="str">
        <f aca="false">IF(F269&gt;G269,"yes","no")</f>
        <v>yes</v>
      </c>
      <c r="I269" s="5" t="s">
        <v>218</v>
      </c>
      <c r="J269" s="5" t="n">
        <v>148</v>
      </c>
      <c r="K269" s="5" t="str">
        <f aca="false">IF(J269="","no","yes")</f>
        <v>yes</v>
      </c>
      <c r="L269" s="5"/>
      <c r="M269" s="7" t="n">
        <f aca="false">IF(L269="",0,IF(L269="Gold",0.5,IF(L269="Platinum",1,IF(L269="Diamond",10,IF(ISNUMBER(FIND("×",L269)),VALUE(LEFT(L269,FIND("×",L269)-1)),0)))))</f>
        <v>0</v>
      </c>
      <c r="N269" s="5" t="s">
        <v>1190</v>
      </c>
      <c r="O269" s="5"/>
    </row>
    <row r="270" customFormat="false" ht="15" hidden="false" customHeight="false" outlineLevel="0" collapsed="false">
      <c r="A270" s="5" t="s">
        <v>1212</v>
      </c>
      <c r="B270" s="5" t="s">
        <v>161</v>
      </c>
      <c r="C270" s="5" t="s">
        <v>1213</v>
      </c>
      <c r="D270" s="5" t="s">
        <v>1214</v>
      </c>
      <c r="E270" s="8" t="n">
        <f aca="false">VALUE(LEFT(D270,4))</f>
        <v>2003</v>
      </c>
      <c r="F270" s="6" t="n">
        <f aca="false">IF(LEN(D270)=10,DATE(VALUE(LEFT(D270,4)),VALUE(MID(D270,6,2)),VALUE(RIGHT(D270,2))),IF(LEN(D270)=7,DATE(VALUE(LEFT(D270,4)),VALUE(MID(D270,6,2)),15),DATE(VALUE(LEFT(D270,4)),7,1)))</f>
        <v>37901</v>
      </c>
      <c r="G270" s="6" t="n">
        <f aca="false">INDEX(Acts!$D:$D,MATCH(B270,Acts!$B:$B,0))</f>
        <v>29278</v>
      </c>
      <c r="H270" s="5" t="str">
        <f aca="false">IF(F270&gt;G270,"yes","no")</f>
        <v>yes</v>
      </c>
      <c r="I270" s="5" t="s">
        <v>218</v>
      </c>
      <c r="J270" s="5" t="n">
        <v>189</v>
      </c>
      <c r="K270" s="5" t="str">
        <f aca="false">IF(J270="","no","yes")</f>
        <v>yes</v>
      </c>
      <c r="L270" s="5"/>
      <c r="M270" s="7" t="n">
        <f aca="false">IF(L270="",0,IF(L270="Gold",0.5,IF(L270="Platinum",1,IF(L270="Diamond",10,IF(ISNUMBER(FIND("×",L270)),VALUE(LEFT(L270,FIND("×",L270)-1)),0)))))</f>
        <v>0</v>
      </c>
      <c r="N270" s="5" t="s">
        <v>1190</v>
      </c>
      <c r="O270" s="5"/>
    </row>
    <row r="271" customFormat="false" ht="15" hidden="false" customHeight="false" outlineLevel="0" collapsed="false">
      <c r="A271" s="5" t="s">
        <v>1215</v>
      </c>
      <c r="B271" s="5" t="s">
        <v>161</v>
      </c>
      <c r="C271" s="5" t="s">
        <v>1216</v>
      </c>
      <c r="D271" s="5" t="s">
        <v>1217</v>
      </c>
      <c r="E271" s="8" t="n">
        <f aca="false">VALUE(LEFT(D271,4))</f>
        <v>2007</v>
      </c>
      <c r="F271" s="6" t="n">
        <f aca="false">IF(LEN(D271)=10,DATE(VALUE(LEFT(D271,4)),VALUE(MID(D271,6,2)),VALUE(RIGHT(D271,2))),IF(LEN(D271)=7,DATE(VALUE(LEFT(D271,4)),VALUE(MID(D271,6,2)),15),DATE(VALUE(LEFT(D271,4)),7,1)))</f>
        <v>39119</v>
      </c>
      <c r="G271" s="6" t="n">
        <f aca="false">INDEX(Acts!$D:$D,MATCH(B271,Acts!$B:$B,0))</f>
        <v>29278</v>
      </c>
      <c r="H271" s="5" t="str">
        <f aca="false">IF(F271&gt;G271,"yes","no")</f>
        <v>yes</v>
      </c>
      <c r="I271" s="5" t="s">
        <v>218</v>
      </c>
      <c r="J271" s="5" t="n">
        <v>158</v>
      </c>
      <c r="K271" s="5" t="str">
        <f aca="false">IF(J271="","no","yes")</f>
        <v>yes</v>
      </c>
      <c r="L271" s="5"/>
      <c r="M271" s="7" t="n">
        <f aca="false">IF(L271="",0,IF(L271="Gold",0.5,IF(L271="Platinum",1,IF(L271="Diamond",10,IF(ISNUMBER(FIND("×",L271)),VALUE(LEFT(L271,FIND("×",L271)-1)),0)))))</f>
        <v>0</v>
      </c>
      <c r="N271" s="5" t="s">
        <v>1190</v>
      </c>
      <c r="O271" s="5"/>
    </row>
    <row r="272" customFormat="false" ht="15" hidden="false" customHeight="false" outlineLevel="0" collapsed="false">
      <c r="A272" s="5" t="s">
        <v>1218</v>
      </c>
      <c r="B272" s="5" t="s">
        <v>161</v>
      </c>
      <c r="C272" s="5" t="s">
        <v>1219</v>
      </c>
      <c r="D272" s="5" t="s">
        <v>1220</v>
      </c>
      <c r="E272" s="8" t="n">
        <f aca="false">VALUE(LEFT(D272,4))</f>
        <v>2009</v>
      </c>
      <c r="F272" s="6" t="n">
        <f aca="false">IF(LEN(D272)=10,DATE(VALUE(LEFT(D272,4)),VALUE(MID(D272,6,2)),VALUE(RIGHT(D272,2))),IF(LEN(D272)=7,DATE(VALUE(LEFT(D272,4)),VALUE(MID(D272,6,2)),15),DATE(VALUE(LEFT(D272,4)),7,1)))</f>
        <v>40120</v>
      </c>
      <c r="G272" s="6" t="n">
        <f aca="false">INDEX(Acts!$D:$D,MATCH(B272,Acts!$B:$B,0))</f>
        <v>29278</v>
      </c>
      <c r="H272" s="5" t="str">
        <f aca="false">IF(F272&gt;G272,"yes","no")</f>
        <v>yes</v>
      </c>
      <c r="I272" s="5" t="s">
        <v>230</v>
      </c>
      <c r="J272" s="5"/>
      <c r="K272" s="5" t="str">
        <f aca="false">IF(J272="","no","yes")</f>
        <v>no</v>
      </c>
      <c r="L272" s="5"/>
      <c r="M272" s="7" t="n">
        <f aca="false">IF(L272="",0,IF(L272="Gold",0.5,IF(L272="Platinum",1,IF(L272="Diamond",10,IF(ISNUMBER(FIND("×",L272)),VALUE(LEFT(L272,FIND("×",L272)-1)),0)))))</f>
        <v>0</v>
      </c>
      <c r="N272" s="5" t="s">
        <v>1190</v>
      </c>
      <c r="O272" s="5" t="s">
        <v>1221</v>
      </c>
    </row>
    <row r="273" customFormat="false" ht="15" hidden="false" customHeight="false" outlineLevel="0" collapsed="false">
      <c r="A273" s="5" t="s">
        <v>1222</v>
      </c>
      <c r="B273" s="5" t="s">
        <v>161</v>
      </c>
      <c r="C273" s="5" t="s">
        <v>1223</v>
      </c>
      <c r="D273" s="5" t="s">
        <v>1224</v>
      </c>
      <c r="E273" s="8" t="n">
        <f aca="false">VALUE(LEFT(D273,4))</f>
        <v>2012</v>
      </c>
      <c r="F273" s="6" t="n">
        <f aca="false">IF(LEN(D273)=10,DATE(VALUE(LEFT(D273,4)),VALUE(MID(D273,6,2)),VALUE(RIGHT(D273,2))),IF(LEN(D273)=7,DATE(VALUE(LEFT(D273,4)),VALUE(MID(D273,6,2)),15),DATE(VALUE(LEFT(D273,4)),7,1)))</f>
        <v>41170</v>
      </c>
      <c r="G273" s="6" t="n">
        <f aca="false">INDEX(Acts!$D:$D,MATCH(B273,Acts!$B:$B,0))</f>
        <v>29278</v>
      </c>
      <c r="H273" s="5" t="str">
        <f aca="false">IF(F273&gt;G273,"yes","no")</f>
        <v>yes</v>
      </c>
      <c r="I273" s="5" t="s">
        <v>218</v>
      </c>
      <c r="J273" s="5" t="n">
        <v>190</v>
      </c>
      <c r="K273" s="5" t="str">
        <f aca="false">IF(J273="","no","yes")</f>
        <v>yes</v>
      </c>
      <c r="L273" s="5"/>
      <c r="M273" s="7" t="n">
        <f aca="false">IF(L273="",0,IF(L273="Gold",0.5,IF(L273="Platinum",1,IF(L273="Diamond",10,IF(ISNUMBER(FIND("×",L273)),VALUE(LEFT(L273,FIND("×",L273)-1)),0)))))</f>
        <v>0</v>
      </c>
      <c r="N273" s="5" t="s">
        <v>1190</v>
      </c>
      <c r="O273" s="5"/>
    </row>
    <row r="274" customFormat="false" ht="15" hidden="false" customHeight="false" outlineLevel="0" collapsed="false">
      <c r="A274" s="5" t="s">
        <v>1225</v>
      </c>
      <c r="B274" s="5" t="s">
        <v>161</v>
      </c>
      <c r="C274" s="5" t="s">
        <v>1226</v>
      </c>
      <c r="D274" s="5" t="s">
        <v>1227</v>
      </c>
      <c r="E274" s="8" t="n">
        <f aca="false">VALUE(LEFT(D274,4))</f>
        <v>2015</v>
      </c>
      <c r="F274" s="6" t="n">
        <f aca="false">IF(LEN(D274)=10,DATE(VALUE(LEFT(D274,4)),VALUE(MID(D274,6,2)),VALUE(RIGHT(D274,2))),IF(LEN(D274)=7,DATE(VALUE(LEFT(D274,4)),VALUE(MID(D274,6,2)),15),DATE(VALUE(LEFT(D274,4)),7,1)))</f>
        <v>42178</v>
      </c>
      <c r="G274" s="6" t="n">
        <f aca="false">INDEX(Acts!$D:$D,MATCH(B274,Acts!$B:$B,0))</f>
        <v>29278</v>
      </c>
      <c r="H274" s="5" t="str">
        <f aca="false">IF(F274&gt;G274,"yes","no")</f>
        <v>yes</v>
      </c>
      <c r="I274" s="5" t="s">
        <v>218</v>
      </c>
      <c r="J274" s="5" t="n">
        <v>164</v>
      </c>
      <c r="K274" s="5" t="str">
        <f aca="false">IF(J274="","no","yes")</f>
        <v>yes</v>
      </c>
      <c r="L274" s="5"/>
      <c r="M274" s="7" t="n">
        <f aca="false">IF(L274="",0,IF(L274="Gold",0.5,IF(L274="Platinum",1,IF(L274="Diamond",10,IF(ISNUMBER(FIND("×",L274)),VALUE(LEFT(L274,FIND("×",L274)-1)),0)))))</f>
        <v>0</v>
      </c>
      <c r="N274" s="5" t="s">
        <v>1190</v>
      </c>
      <c r="O274" s="5"/>
    </row>
    <row r="275" customFormat="false" ht="15" hidden="false" customHeight="false" outlineLevel="0" collapsed="false">
      <c r="A275" s="5" t="s">
        <v>1228</v>
      </c>
      <c r="B275" s="5" t="s">
        <v>161</v>
      </c>
      <c r="C275" s="5" t="s">
        <v>1229</v>
      </c>
      <c r="D275" s="5" t="s">
        <v>1230</v>
      </c>
      <c r="E275" s="8" t="n">
        <f aca="false">VALUE(LEFT(D275,4))</f>
        <v>2019</v>
      </c>
      <c r="F275" s="6" t="n">
        <f aca="false">IF(LEN(D275)=10,DATE(VALUE(LEFT(D275,4)),VALUE(MID(D275,6,2)),VALUE(RIGHT(D275,2))),IF(LEN(D275)=7,DATE(VALUE(LEFT(D275,4)),VALUE(MID(D275,6,2)),15),DATE(VALUE(LEFT(D275,4)),7,1)))</f>
        <v>43623</v>
      </c>
      <c r="G275" s="6" t="n">
        <f aca="false">INDEX(Acts!$D:$D,MATCH(B275,Acts!$B:$B,0))</f>
        <v>29278</v>
      </c>
      <c r="H275" s="5" t="str">
        <f aca="false">IF(F275&gt;G275,"yes","no")</f>
        <v>yes</v>
      </c>
      <c r="I275" s="5" t="s">
        <v>230</v>
      </c>
      <c r="J275" s="5"/>
      <c r="K275" s="5" t="str">
        <f aca="false">IF(J275="","no","yes")</f>
        <v>no</v>
      </c>
      <c r="L275" s="5"/>
      <c r="M275" s="7" t="n">
        <f aca="false">IF(L275="",0,IF(L275="Gold",0.5,IF(L275="Platinum",1,IF(L275="Diamond",10,IF(ISNUMBER(FIND("×",L275)),VALUE(LEFT(L275,FIND("×",L275)-1)),0)))))</f>
        <v>0</v>
      </c>
      <c r="N275" s="5" t="s">
        <v>1190</v>
      </c>
      <c r="O275" s="5" t="s">
        <v>1231</v>
      </c>
    </row>
    <row r="276" customFormat="false" ht="15" hidden="false" customHeight="false" outlineLevel="0" collapsed="false">
      <c r="A276" s="5" t="s">
        <v>1232</v>
      </c>
      <c r="B276" s="5" t="s">
        <v>161</v>
      </c>
      <c r="C276" s="5" t="s">
        <v>1233</v>
      </c>
      <c r="D276" s="5" t="s">
        <v>1234</v>
      </c>
      <c r="E276" s="8" t="n">
        <f aca="false">VALUE(LEFT(D276,4))</f>
        <v>2023</v>
      </c>
      <c r="F276" s="6" t="n">
        <f aca="false">IF(LEN(D276)=10,DATE(VALUE(LEFT(D276,4)),VALUE(MID(D276,6,2)),VALUE(RIGHT(D276,2))),IF(LEN(D276)=7,DATE(VALUE(LEFT(D276,4)),VALUE(MID(D276,6,2)),15),DATE(VALUE(LEFT(D276,4)),7,1)))</f>
        <v>45044</v>
      </c>
      <c r="G276" s="6" t="n">
        <f aca="false">INDEX(Acts!$D:$D,MATCH(B276,Acts!$B:$B,0))</f>
        <v>29278</v>
      </c>
      <c r="H276" s="5" t="str">
        <f aca="false">IF(F276&gt;G276,"yes","no")</f>
        <v>yes</v>
      </c>
      <c r="I276" s="5" t="s">
        <v>218</v>
      </c>
      <c r="J276" s="5"/>
      <c r="K276" s="5" t="str">
        <f aca="false">IF(J276="","no","yes")</f>
        <v>no</v>
      </c>
      <c r="L276" s="5"/>
      <c r="M276" s="7" t="n">
        <f aca="false">IF(L276="",0,IF(L276="Gold",0.5,IF(L276="Platinum",1,IF(L276="Diamond",10,IF(ISNUMBER(FIND("×",L276)),VALUE(LEFT(L276,FIND("×",L276)-1)),0)))))</f>
        <v>0</v>
      </c>
      <c r="N276" s="5" t="s">
        <v>1190</v>
      </c>
      <c r="O276" s="5" t="s">
        <v>1235</v>
      </c>
    </row>
    <row r="277" customFormat="false" ht="15" hidden="false" customHeight="false" outlineLevel="0" collapsed="false">
      <c r="A277" s="5" t="s">
        <v>1236</v>
      </c>
      <c r="B277" s="5" t="s">
        <v>164</v>
      </c>
      <c r="C277" s="5" t="s">
        <v>164</v>
      </c>
      <c r="D277" s="5" t="s">
        <v>279</v>
      </c>
      <c r="E277" s="8" t="n">
        <f aca="false">VALUE(LEFT(D277,4))</f>
        <v>1980</v>
      </c>
      <c r="F277" s="6" t="n">
        <f aca="false">IF(LEN(D277)=10,DATE(VALUE(LEFT(D277,4)),VALUE(MID(D277,6,2)),VALUE(RIGHT(D277,2))),IF(LEN(D277)=7,DATE(VALUE(LEFT(D277,4)),VALUE(MID(D277,6,2)),15),DATE(VALUE(LEFT(D277,4)),7,1)))</f>
        <v>29403</v>
      </c>
      <c r="G277" s="6" t="n">
        <f aca="false">INDEX(Acts!$D:$D,MATCH(B277,Acts!$B:$B,0))</f>
        <v>29642</v>
      </c>
      <c r="H277" s="5" t="str">
        <f aca="false">IF(F277&gt;G277,"yes","no")</f>
        <v>no</v>
      </c>
      <c r="I277" s="5" t="s">
        <v>218</v>
      </c>
      <c r="J277" s="5" t="n">
        <v>51</v>
      </c>
      <c r="K277" s="5" t="str">
        <f aca="false">IF(J277="","no","yes")</f>
        <v>yes</v>
      </c>
      <c r="L277" s="5"/>
      <c r="M277" s="7" t="n">
        <f aca="false">IF(L277="",0,IF(L277="Gold",0.5,IF(L277="Platinum",1,IF(L277="Diamond",10,IF(ISNUMBER(FIND("×",L277)),VALUE(LEFT(L277,FIND("×",L277)-1)),0)))))</f>
        <v>0</v>
      </c>
      <c r="N277" s="5" t="s">
        <v>1237</v>
      </c>
      <c r="O277" s="5" t="s">
        <v>1238</v>
      </c>
    </row>
    <row r="278" customFormat="false" ht="15" hidden="false" customHeight="false" outlineLevel="0" collapsed="false">
      <c r="A278" s="5" t="s">
        <v>1239</v>
      </c>
      <c r="B278" s="5" t="s">
        <v>164</v>
      </c>
      <c r="C278" s="5" t="s">
        <v>1240</v>
      </c>
      <c r="D278" s="5" t="s">
        <v>1241</v>
      </c>
      <c r="E278" s="8" t="n">
        <f aca="false">VALUE(LEFT(D278,4))</f>
        <v>1981</v>
      </c>
      <c r="F278" s="6" t="n">
        <f aca="false">IF(LEN(D278)=10,DATE(VALUE(LEFT(D278,4)),VALUE(MID(D278,6,2)),VALUE(RIGHT(D278,2))),IF(LEN(D278)=7,DATE(VALUE(LEFT(D278,4)),VALUE(MID(D278,6,2)),15),DATE(VALUE(LEFT(D278,4)),7,1)))</f>
        <v>29768</v>
      </c>
      <c r="G278" s="6" t="n">
        <f aca="false">INDEX(Acts!$D:$D,MATCH(B278,Acts!$B:$B,0))</f>
        <v>29642</v>
      </c>
      <c r="H278" s="5" t="str">
        <f aca="false">IF(F278&gt;G278,"yes","no")</f>
        <v>yes</v>
      </c>
      <c r="I278" s="5" t="s">
        <v>218</v>
      </c>
      <c r="J278" s="5" t="n">
        <v>169</v>
      </c>
      <c r="K278" s="5" t="str">
        <f aca="false">IF(J278="","no","yes")</f>
        <v>yes</v>
      </c>
      <c r="L278" s="5"/>
      <c r="M278" s="7" t="n">
        <f aca="false">IF(L278="",0,IF(L278="Gold",0.5,IF(L278="Platinum",1,IF(L278="Diamond",10,IF(ISNUMBER(FIND("×",L278)),VALUE(LEFT(L278,FIND("×",L278)-1)),0)))))</f>
        <v>0</v>
      </c>
      <c r="N278" s="5" t="s">
        <v>1237</v>
      </c>
      <c r="O278" s="5" t="s">
        <v>1242</v>
      </c>
    </row>
    <row r="279" customFormat="false" ht="15" hidden="false" customHeight="false" outlineLevel="0" collapsed="false">
      <c r="A279" s="5" t="s">
        <v>1243</v>
      </c>
      <c r="B279" s="5" t="s">
        <v>164</v>
      </c>
      <c r="C279" s="5" t="s">
        <v>1244</v>
      </c>
      <c r="D279" s="5" t="s">
        <v>1245</v>
      </c>
      <c r="E279" s="8" t="n">
        <f aca="false">VALUE(LEFT(D279,4))</f>
        <v>1989</v>
      </c>
      <c r="F279" s="6" t="n">
        <f aca="false">IF(LEN(D279)=10,DATE(VALUE(LEFT(D279,4)),VALUE(MID(D279,6,2)),VALUE(RIGHT(D279,2))),IF(LEN(D279)=7,DATE(VALUE(LEFT(D279,4)),VALUE(MID(D279,6,2)),15),DATE(VALUE(LEFT(D279,4)),7,1)))</f>
        <v>32690</v>
      </c>
      <c r="G279" s="6" t="n">
        <f aca="false">INDEX(Acts!$D:$D,MATCH(B279,Acts!$B:$B,0))</f>
        <v>29642</v>
      </c>
      <c r="H279" s="5" t="str">
        <f aca="false">IF(F279&gt;G279,"yes","no")</f>
        <v>yes</v>
      </c>
      <c r="I279" s="5" t="s">
        <v>230</v>
      </c>
      <c r="J279" s="5"/>
      <c r="K279" s="5" t="str">
        <f aca="false">IF(J279="","no","yes")</f>
        <v>no</v>
      </c>
      <c r="L279" s="5"/>
      <c r="M279" s="7" t="n">
        <f aca="false">IF(L279="",0,IF(L279="Gold",0.5,IF(L279="Platinum",1,IF(L279="Diamond",10,IF(ISNUMBER(FIND("×",L279)),VALUE(LEFT(L279,FIND("×",L279)-1)),0)))))</f>
        <v>0</v>
      </c>
      <c r="N279" s="5" t="s">
        <v>1237</v>
      </c>
      <c r="O279" s="5" t="s">
        <v>1246</v>
      </c>
    </row>
    <row r="280" customFormat="false" ht="15" hidden="false" customHeight="false" outlineLevel="0" collapsed="false">
      <c r="A280" s="5" t="s">
        <v>1247</v>
      </c>
      <c r="B280" s="5" t="s">
        <v>164</v>
      </c>
      <c r="C280" s="5" t="s">
        <v>1248</v>
      </c>
      <c r="D280" s="5" t="s">
        <v>938</v>
      </c>
      <c r="E280" s="8" t="n">
        <f aca="false">VALUE(LEFT(D280,4))</f>
        <v>1993</v>
      </c>
      <c r="F280" s="6" t="n">
        <f aca="false">IF(LEN(D280)=10,DATE(VALUE(LEFT(D280,4)),VALUE(MID(D280,6,2)),VALUE(RIGHT(D280,2))),IF(LEN(D280)=7,DATE(VALUE(LEFT(D280,4)),VALUE(MID(D280,6,2)),15),DATE(VALUE(LEFT(D280,4)),7,1)))</f>
        <v>34151</v>
      </c>
      <c r="G280" s="6" t="n">
        <f aca="false">INDEX(Acts!$D:$D,MATCH(B280,Acts!$B:$B,0))</f>
        <v>29642</v>
      </c>
      <c r="H280" s="5" t="str">
        <f aca="false">IF(F280&gt;G280,"yes","no")</f>
        <v>yes</v>
      </c>
      <c r="I280" s="5" t="s">
        <v>230</v>
      </c>
      <c r="J280" s="5"/>
      <c r="K280" s="5" t="str">
        <f aca="false">IF(J280="","no","yes")</f>
        <v>no</v>
      </c>
      <c r="L280" s="5"/>
      <c r="M280" s="7" t="n">
        <f aca="false">IF(L280="",0,IF(L280="Gold",0.5,IF(L280="Platinum",1,IF(L280="Diamond",10,IF(ISNUMBER(FIND("×",L280)),VALUE(LEFT(L280,FIND("×",L280)-1)),0)))))</f>
        <v>0</v>
      </c>
      <c r="N280" s="5" t="s">
        <v>1237</v>
      </c>
      <c r="O280" s="5" t="s">
        <v>1249</v>
      </c>
    </row>
    <row r="281" customFormat="false" ht="15" hidden="false" customHeight="false" outlineLevel="0" collapsed="false">
      <c r="A281" s="5" t="s">
        <v>1250</v>
      </c>
      <c r="B281" s="5" t="s">
        <v>164</v>
      </c>
      <c r="C281" s="5" t="s">
        <v>1251</v>
      </c>
      <c r="D281" s="5" t="s">
        <v>1252</v>
      </c>
      <c r="E281" s="8" t="n">
        <f aca="false">VALUE(LEFT(D281,4))</f>
        <v>1995</v>
      </c>
      <c r="F281" s="6" t="n">
        <f aca="false">IF(LEN(D281)=10,DATE(VALUE(LEFT(D281,4)),VALUE(MID(D281,6,2)),VALUE(RIGHT(D281,2))),IF(LEN(D281)=7,DATE(VALUE(LEFT(D281,4)),VALUE(MID(D281,6,2)),15),DATE(VALUE(LEFT(D281,4)),7,1)))</f>
        <v>34881</v>
      </c>
      <c r="G281" s="6" t="n">
        <f aca="false">INDEX(Acts!$D:$D,MATCH(B281,Acts!$B:$B,0))</f>
        <v>29642</v>
      </c>
      <c r="H281" s="5" t="str">
        <f aca="false">IF(F281&gt;G281,"yes","no")</f>
        <v>yes</v>
      </c>
      <c r="I281" s="5" t="s">
        <v>230</v>
      </c>
      <c r="J281" s="5"/>
      <c r="K281" s="5" t="str">
        <f aca="false">IF(J281="","no","yes")</f>
        <v>no</v>
      </c>
      <c r="L281" s="5"/>
      <c r="M281" s="7" t="n">
        <f aca="false">IF(L281="",0,IF(L281="Gold",0.5,IF(L281="Platinum",1,IF(L281="Diamond",10,IF(ISNUMBER(FIND("×",L281)),VALUE(LEFT(L281,FIND("×",L281)-1)),0)))))</f>
        <v>0</v>
      </c>
      <c r="N281" s="5" t="s">
        <v>1237</v>
      </c>
      <c r="O281" s="5" t="s">
        <v>1249</v>
      </c>
    </row>
    <row r="282" customFormat="false" ht="15" hidden="false" customHeight="false" outlineLevel="0" collapsed="false">
      <c r="A282" s="5" t="s">
        <v>1253</v>
      </c>
      <c r="B282" s="5" t="s">
        <v>164</v>
      </c>
      <c r="C282" s="5" t="s">
        <v>1254</v>
      </c>
      <c r="D282" s="5" t="s">
        <v>1255</v>
      </c>
      <c r="E282" s="8" t="n">
        <f aca="false">VALUE(LEFT(D282,4))</f>
        <v>2003</v>
      </c>
      <c r="F282" s="6" t="n">
        <f aca="false">IF(LEN(D282)=10,DATE(VALUE(LEFT(D282,4)),VALUE(MID(D282,6,2)),VALUE(RIGHT(D282,2))),IF(LEN(D282)=7,DATE(VALUE(LEFT(D282,4)),VALUE(MID(D282,6,2)),15),DATE(VALUE(LEFT(D282,4)),7,1)))</f>
        <v>37803</v>
      </c>
      <c r="G282" s="6" t="n">
        <f aca="false">INDEX(Acts!$D:$D,MATCH(B282,Acts!$B:$B,0))</f>
        <v>29642</v>
      </c>
      <c r="H282" s="5" t="str">
        <f aca="false">IF(F282&gt;G282,"yes","no")</f>
        <v>yes</v>
      </c>
      <c r="I282" s="5" t="s">
        <v>230</v>
      </c>
      <c r="J282" s="5"/>
      <c r="K282" s="5" t="str">
        <f aca="false">IF(J282="","no","yes")</f>
        <v>no</v>
      </c>
      <c r="L282" s="5"/>
      <c r="M282" s="7" t="n">
        <f aca="false">IF(L282="",0,IF(L282="Gold",0.5,IF(L282="Platinum",1,IF(L282="Diamond",10,IF(ISNUMBER(FIND("×",L282)),VALUE(LEFT(L282,FIND("×",L282)-1)),0)))))</f>
        <v>0</v>
      </c>
      <c r="N282" s="5" t="s">
        <v>1237</v>
      </c>
      <c r="O282" s="5" t="s">
        <v>1249</v>
      </c>
    </row>
    <row r="283" customFormat="false" ht="15" hidden="false" customHeight="false" outlineLevel="0" collapsed="false">
      <c r="A283" s="5" t="s">
        <v>1256</v>
      </c>
      <c r="B283" s="5" t="s">
        <v>164</v>
      </c>
      <c r="C283" s="5" t="s">
        <v>1257</v>
      </c>
      <c r="D283" s="5" t="s">
        <v>1258</v>
      </c>
      <c r="E283" s="8" t="n">
        <f aca="false">VALUE(LEFT(D283,4))</f>
        <v>2008</v>
      </c>
      <c r="F283" s="6" t="n">
        <f aca="false">IF(LEN(D283)=10,DATE(VALUE(LEFT(D283,4)),VALUE(MID(D283,6,2)),VALUE(RIGHT(D283,2))),IF(LEN(D283)=7,DATE(VALUE(LEFT(D283,4)),VALUE(MID(D283,6,2)),15),DATE(VALUE(LEFT(D283,4)),7,1)))</f>
        <v>39630</v>
      </c>
      <c r="G283" s="6" t="n">
        <f aca="false">INDEX(Acts!$D:$D,MATCH(B283,Acts!$B:$B,0))</f>
        <v>29642</v>
      </c>
      <c r="H283" s="5" t="str">
        <f aca="false">IF(F283&gt;G283,"yes","no")</f>
        <v>yes</v>
      </c>
      <c r="I283" s="5" t="s">
        <v>230</v>
      </c>
      <c r="J283" s="5"/>
      <c r="K283" s="5" t="str">
        <f aca="false">IF(J283="","no","yes")</f>
        <v>no</v>
      </c>
      <c r="L283" s="5"/>
      <c r="M283" s="7" t="n">
        <f aca="false">IF(L283="",0,IF(L283="Gold",0.5,IF(L283="Platinum",1,IF(L283="Diamond",10,IF(ISNUMBER(FIND("×",L283)),VALUE(LEFT(L283,FIND("×",L283)-1)),0)))))</f>
        <v>0</v>
      </c>
      <c r="N283" s="5" t="s">
        <v>1237</v>
      </c>
      <c r="O283" s="5" t="s">
        <v>1259</v>
      </c>
    </row>
    <row r="284" customFormat="false" ht="15" hidden="false" customHeight="false" outlineLevel="0" collapsed="false">
      <c r="A284" s="5" t="s">
        <v>1260</v>
      </c>
      <c r="B284" s="5" t="s">
        <v>167</v>
      </c>
      <c r="C284" s="5" t="s">
        <v>1261</v>
      </c>
      <c r="D284" s="5" t="s">
        <v>1262</v>
      </c>
      <c r="E284" s="8" t="n">
        <f aca="false">VALUE(LEFT(D284,4))</f>
        <v>1984</v>
      </c>
      <c r="F284" s="6" t="n">
        <f aca="false">IF(LEN(D284)=10,DATE(VALUE(LEFT(D284,4)),VALUE(MID(D284,6,2)),VALUE(RIGHT(D284,2))),IF(LEN(D284)=7,DATE(VALUE(LEFT(D284,4)),VALUE(MID(D284,6,2)),15),DATE(VALUE(LEFT(D284,4)),7,1)))</f>
        <v>30879</v>
      </c>
      <c r="G284" s="6" t="n">
        <f aca="false">INDEX(Acts!$D:$D,MATCH(B284,Acts!$B:$B,0))</f>
        <v>31468</v>
      </c>
      <c r="H284" s="5" t="str">
        <f aca="false">IF(F284&gt;G284,"yes","no")</f>
        <v>no</v>
      </c>
      <c r="I284" s="5" t="s">
        <v>218</v>
      </c>
      <c r="J284" s="5" t="n">
        <v>5</v>
      </c>
      <c r="K284" s="5" t="str">
        <f aca="false">IF(J284="","no","yes")</f>
        <v>yes</v>
      </c>
      <c r="L284" s="5" t="s">
        <v>298</v>
      </c>
      <c r="M284" s="7" t="n">
        <f aca="false">IF(L284="",0,IF(L284="Gold",0.5,IF(L284="Platinum",1,IF(L284="Diamond",10,IF(ISNUMBER(FIND("×",L284)),VALUE(LEFT(L284,FIND("×",L284)-1)),0)))))</f>
        <v>4</v>
      </c>
      <c r="N284" s="5" t="s">
        <v>1263</v>
      </c>
      <c r="O284" s="5"/>
    </row>
    <row r="285" customFormat="false" ht="15" hidden="false" customHeight="false" outlineLevel="0" collapsed="false">
      <c r="A285" s="5" t="s">
        <v>1264</v>
      </c>
      <c r="B285" s="5" t="s">
        <v>167</v>
      </c>
      <c r="C285" s="5" t="s">
        <v>1265</v>
      </c>
      <c r="D285" s="5" t="s">
        <v>403</v>
      </c>
      <c r="E285" s="8" t="n">
        <f aca="false">VALUE(LEFT(D285,4))</f>
        <v>1985</v>
      </c>
      <c r="F285" s="6" t="n">
        <f aca="false">IF(LEN(D285)=10,DATE(VALUE(LEFT(D285,4)),VALUE(MID(D285,6,2)),VALUE(RIGHT(D285,2))),IF(LEN(D285)=7,DATE(VALUE(LEFT(D285,4)),VALUE(MID(D285,6,2)),15),DATE(VALUE(LEFT(D285,4)),7,1)))</f>
        <v>31355</v>
      </c>
      <c r="G285" s="6" t="n">
        <f aca="false">INDEX(Acts!$D:$D,MATCH(B285,Acts!$B:$B,0))</f>
        <v>31468</v>
      </c>
      <c r="H285" s="5" t="str">
        <f aca="false">IF(F285&gt;G285,"yes","no")</f>
        <v>no</v>
      </c>
      <c r="I285" s="5" t="s">
        <v>218</v>
      </c>
      <c r="J285" s="5" t="n">
        <v>1</v>
      </c>
      <c r="K285" s="5" t="str">
        <f aca="false">IF(J285="","no","yes")</f>
        <v>yes</v>
      </c>
      <c r="L285" s="5" t="s">
        <v>298</v>
      </c>
      <c r="M285" s="7" t="n">
        <f aca="false">IF(L285="",0,IF(L285="Gold",0.5,IF(L285="Platinum",1,IF(L285="Diamond",10,IF(ISNUMBER(FIND("×",L285)),VALUE(LEFT(L285,FIND("×",L285)-1)),0)))))</f>
        <v>4</v>
      </c>
      <c r="N285" s="5" t="s">
        <v>1263</v>
      </c>
      <c r="O285" s="5"/>
    </row>
    <row r="286" customFormat="false" ht="15" hidden="false" customHeight="false" outlineLevel="0" collapsed="false">
      <c r="A286" s="5" t="s">
        <v>1266</v>
      </c>
      <c r="B286" s="5" t="s">
        <v>167</v>
      </c>
      <c r="C286" s="5" t="s">
        <v>1267</v>
      </c>
      <c r="D286" s="5" t="s">
        <v>1268</v>
      </c>
      <c r="E286" s="8" t="n">
        <f aca="false">VALUE(LEFT(D286,4))</f>
        <v>1988</v>
      </c>
      <c r="F286" s="6" t="n">
        <f aca="false">IF(LEN(D286)=10,DATE(VALUE(LEFT(D286,4)),VALUE(MID(D286,6,2)),VALUE(RIGHT(D286,2))),IF(LEN(D286)=7,DATE(VALUE(LEFT(D286,4)),VALUE(MID(D286,6,2)),15),DATE(VALUE(LEFT(D286,4)),7,1)))</f>
        <v>32278</v>
      </c>
      <c r="G286" s="6" t="n">
        <f aca="false">INDEX(Acts!$D:$D,MATCH(B286,Acts!$B:$B,0))</f>
        <v>31468</v>
      </c>
      <c r="H286" s="5" t="str">
        <f aca="false">IF(F286&gt;G286,"yes","no")</f>
        <v>yes</v>
      </c>
      <c r="I286" s="5" t="s">
        <v>218</v>
      </c>
      <c r="J286" s="5" t="n">
        <v>7</v>
      </c>
      <c r="K286" s="5" t="str">
        <f aca="false">IF(J286="","no","yes")</f>
        <v>yes</v>
      </c>
      <c r="L286" s="5" t="s">
        <v>386</v>
      </c>
      <c r="M286" s="7" t="n">
        <f aca="false">IF(L286="",0,IF(L286="Gold",0.5,IF(L286="Platinum",1,IF(L286="Diamond",10,IF(ISNUMBER(FIND("×",L286)),VALUE(LEFT(L286,FIND("×",L286)-1)),0)))))</f>
        <v>3</v>
      </c>
      <c r="N286" s="5" t="s">
        <v>1263</v>
      </c>
      <c r="O286" s="5"/>
    </row>
    <row r="287" customFormat="false" ht="15" hidden="false" customHeight="false" outlineLevel="0" collapsed="false">
      <c r="A287" s="5" t="s">
        <v>1269</v>
      </c>
      <c r="B287" s="5" t="s">
        <v>167</v>
      </c>
      <c r="C287" s="5" t="s">
        <v>1270</v>
      </c>
      <c r="D287" s="5" t="s">
        <v>1271</v>
      </c>
      <c r="E287" s="8" t="n">
        <f aca="false">VALUE(LEFT(D287,4))</f>
        <v>1992</v>
      </c>
      <c r="F287" s="6" t="n">
        <f aca="false">IF(LEN(D287)=10,DATE(VALUE(LEFT(D287,4)),VALUE(MID(D287,6,2)),VALUE(RIGHT(D287,2))),IF(LEN(D287)=7,DATE(VALUE(LEFT(D287,4)),VALUE(MID(D287,6,2)),15),DATE(VALUE(LEFT(D287,4)),7,1)))</f>
        <v>33892</v>
      </c>
      <c r="G287" s="6" t="n">
        <f aca="false">INDEX(Acts!$D:$D,MATCH(B287,Acts!$B:$B,0))</f>
        <v>31468</v>
      </c>
      <c r="H287" s="5" t="str">
        <f aca="false">IF(F287&gt;G287,"yes","no")</f>
        <v>yes</v>
      </c>
      <c r="I287" s="5" t="s">
        <v>218</v>
      </c>
      <c r="J287" s="5" t="n">
        <v>3</v>
      </c>
      <c r="K287" s="5" t="str">
        <f aca="false">IF(J287="","no","yes")</f>
        <v>yes</v>
      </c>
      <c r="L287" s="5" t="s">
        <v>298</v>
      </c>
      <c r="M287" s="7" t="n">
        <f aca="false">IF(L287="",0,IF(L287="Gold",0.5,IF(L287="Platinum",1,IF(L287="Diamond",10,IF(ISNUMBER(FIND("×",L287)),VALUE(LEFT(L287,FIND("×",L287)-1)),0)))))</f>
        <v>4</v>
      </c>
      <c r="N287" s="5" t="s">
        <v>1263</v>
      </c>
      <c r="O287" s="5"/>
    </row>
    <row r="288" customFormat="false" ht="15" hidden="false" customHeight="false" outlineLevel="0" collapsed="false">
      <c r="A288" s="5" t="s">
        <v>1272</v>
      </c>
      <c r="B288" s="5" t="s">
        <v>167</v>
      </c>
      <c r="C288" s="5" t="s">
        <v>1273</v>
      </c>
      <c r="D288" s="5" t="s">
        <v>1274</v>
      </c>
      <c r="E288" s="8" t="n">
        <f aca="false">VALUE(LEFT(D288,4))</f>
        <v>2000</v>
      </c>
      <c r="F288" s="6" t="n">
        <f aca="false">IF(LEN(D288)=10,DATE(VALUE(LEFT(D288,4)),VALUE(MID(D288,6,2)),VALUE(RIGHT(D288,2))),IF(LEN(D288)=7,DATE(VALUE(LEFT(D288,4)),VALUE(MID(D288,6,2)),15),DATE(VALUE(LEFT(D288,4)),7,1)))</f>
        <v>36843</v>
      </c>
      <c r="G288" s="6" t="n">
        <f aca="false">INDEX(Acts!$D:$D,MATCH(B288,Acts!$B:$B,0))</f>
        <v>31468</v>
      </c>
      <c r="H288" s="5" t="str">
        <f aca="false">IF(F288&gt;G288,"yes","no")</f>
        <v>yes</v>
      </c>
      <c r="I288" s="5" t="s">
        <v>218</v>
      </c>
      <c r="J288" s="5" t="n">
        <v>3</v>
      </c>
      <c r="K288" s="5" t="str">
        <f aca="false">IF(J288="","no","yes")</f>
        <v>yes</v>
      </c>
      <c r="L288" s="5" t="s">
        <v>386</v>
      </c>
      <c r="M288" s="7" t="n">
        <f aca="false">IF(L288="",0,IF(L288="Gold",0.5,IF(L288="Platinum",1,IF(L288="Diamond",10,IF(ISNUMBER(FIND("×",L288)),VALUE(LEFT(L288,FIND("×",L288)-1)),0)))))</f>
        <v>3</v>
      </c>
      <c r="N288" s="5" t="s">
        <v>1263</v>
      </c>
      <c r="O288" s="5"/>
    </row>
    <row r="289" customFormat="false" ht="15" hidden="false" customHeight="false" outlineLevel="0" collapsed="false">
      <c r="A289" s="5" t="s">
        <v>1275</v>
      </c>
      <c r="B289" s="5" t="s">
        <v>167</v>
      </c>
      <c r="C289" s="5" t="s">
        <v>1276</v>
      </c>
      <c r="D289" s="5" t="s">
        <v>1277</v>
      </c>
      <c r="E289" s="8" t="n">
        <f aca="false">VALUE(LEFT(D289,4))</f>
        <v>2010</v>
      </c>
      <c r="F289" s="6" t="n">
        <f aca="false">IF(LEN(D289)=10,DATE(VALUE(LEFT(D289,4)),VALUE(MID(D289,6,2)),VALUE(RIGHT(D289,2))),IF(LEN(D289)=7,DATE(VALUE(LEFT(D289,4)),VALUE(MID(D289,6,2)),15),DATE(VALUE(LEFT(D289,4)),7,1)))</f>
        <v>40214</v>
      </c>
      <c r="G289" s="6" t="n">
        <f aca="false">INDEX(Acts!$D:$D,MATCH(B289,Acts!$B:$B,0))</f>
        <v>31468</v>
      </c>
      <c r="H289" s="5" t="str">
        <f aca="false">IF(F289&gt;G289,"yes","no")</f>
        <v>yes</v>
      </c>
      <c r="I289" s="5" t="s">
        <v>218</v>
      </c>
      <c r="J289" s="5" t="n">
        <v>1</v>
      </c>
      <c r="K289" s="5" t="str">
        <f aca="false">IF(J289="","no","yes")</f>
        <v>yes</v>
      </c>
      <c r="L289" s="5" t="s">
        <v>219</v>
      </c>
      <c r="M289" s="7" t="n">
        <f aca="false">IF(L289="",0,IF(L289="Gold",0.5,IF(L289="Platinum",1,IF(L289="Diamond",10,IF(ISNUMBER(FIND("×",L289)),VALUE(LEFT(L289,FIND("×",L289)-1)),0)))))</f>
        <v>1</v>
      </c>
      <c r="N289" s="5" t="s">
        <v>1263</v>
      </c>
      <c r="O289" s="5"/>
    </row>
    <row r="290" customFormat="false" ht="15" hidden="false" customHeight="false" outlineLevel="0" collapsed="false">
      <c r="A290" s="5" t="s">
        <v>1278</v>
      </c>
      <c r="B290" s="5" t="s">
        <v>170</v>
      </c>
      <c r="C290" s="5" t="s">
        <v>1279</v>
      </c>
      <c r="D290" s="5" t="s">
        <v>1280</v>
      </c>
      <c r="E290" s="8" t="n">
        <f aca="false">VALUE(LEFT(D290,4))</f>
        <v>1981</v>
      </c>
      <c r="F290" s="6" t="n">
        <f aca="false">IF(LEN(D290)=10,DATE(VALUE(LEFT(D290,4)),VALUE(MID(D290,6,2)),VALUE(RIGHT(D290,2))),IF(LEN(D290)=7,DATE(VALUE(LEFT(D290,4)),VALUE(MID(D290,6,2)),15),DATE(VALUE(LEFT(D290,4)),7,1)))</f>
        <v>29605</v>
      </c>
      <c r="G290" s="6" t="n">
        <f aca="false">INDEX(Acts!$D:$D,MATCH(B290,Acts!$B:$B,0))</f>
        <v>30006</v>
      </c>
      <c r="H290" s="5" t="str">
        <f aca="false">IF(F290&gt;G290,"yes","no")</f>
        <v>no</v>
      </c>
      <c r="I290" s="5" t="s">
        <v>218</v>
      </c>
      <c r="J290" s="5" t="n">
        <v>24</v>
      </c>
      <c r="K290" s="5" t="str">
        <f aca="false">IF(J290="","no","yes")</f>
        <v>yes</v>
      </c>
      <c r="L290" s="5" t="s">
        <v>271</v>
      </c>
      <c r="M290" s="7" t="n">
        <f aca="false">IF(L290="",0,IF(L290="Gold",0.5,IF(L290="Platinum",1,IF(L290="Diamond",10,IF(ISNUMBER(FIND("×",L290)),VALUE(LEFT(L290,FIND("×",L290)-1)),0)))))</f>
        <v>0.5</v>
      </c>
      <c r="N290" s="5" t="s">
        <v>1281</v>
      </c>
      <c r="O290" s="5"/>
    </row>
    <row r="291" customFormat="false" ht="15" hidden="false" customHeight="false" outlineLevel="0" collapsed="false">
      <c r="A291" s="5" t="s">
        <v>1282</v>
      </c>
      <c r="B291" s="5" t="s">
        <v>170</v>
      </c>
      <c r="C291" s="5" t="s">
        <v>1283</v>
      </c>
      <c r="D291" s="5" t="s">
        <v>1284</v>
      </c>
      <c r="E291" s="8" t="n">
        <f aca="false">VALUE(LEFT(D291,4))</f>
        <v>1981</v>
      </c>
      <c r="F291" s="6" t="n">
        <f aca="false">IF(LEN(D291)=10,DATE(VALUE(LEFT(D291,4)),VALUE(MID(D291,6,2)),VALUE(RIGHT(D291,2))),IF(LEN(D291)=7,DATE(VALUE(LEFT(D291,4)),VALUE(MID(D291,6,2)),15),DATE(VALUE(LEFT(D291,4)),7,1)))</f>
        <v>29850</v>
      </c>
      <c r="G291" s="6" t="n">
        <f aca="false">INDEX(Acts!$D:$D,MATCH(B291,Acts!$B:$B,0))</f>
        <v>30006</v>
      </c>
      <c r="H291" s="5" t="str">
        <f aca="false">IF(F291&gt;G291,"yes","no")</f>
        <v>no</v>
      </c>
      <c r="I291" s="5" t="s">
        <v>218</v>
      </c>
      <c r="J291" s="5" t="n">
        <v>47</v>
      </c>
      <c r="K291" s="5" t="str">
        <f aca="false">IF(J291="","no","yes")</f>
        <v>yes</v>
      </c>
      <c r="L291" s="5" t="s">
        <v>271</v>
      </c>
      <c r="M291" s="7" t="n">
        <f aca="false">IF(L291="",0,IF(L291="Gold",0.5,IF(L291="Platinum",1,IF(L291="Diamond",10,IF(ISNUMBER(FIND("×",L291)),VALUE(LEFT(L291,FIND("×",L291)-1)),0)))))</f>
        <v>0.5</v>
      </c>
      <c r="N291" s="5" t="s">
        <v>1281</v>
      </c>
      <c r="O291" s="5"/>
    </row>
    <row r="292" customFormat="false" ht="15" hidden="false" customHeight="false" outlineLevel="0" collapsed="false">
      <c r="A292" s="5" t="s">
        <v>1285</v>
      </c>
      <c r="B292" s="5" t="s">
        <v>170</v>
      </c>
      <c r="C292" s="5" t="s">
        <v>1286</v>
      </c>
      <c r="D292" s="5" t="s">
        <v>1287</v>
      </c>
      <c r="E292" s="8" t="n">
        <f aca="false">VALUE(LEFT(D292,4))</f>
        <v>1982</v>
      </c>
      <c r="F292" s="6" t="n">
        <f aca="false">IF(LEN(D292)=10,DATE(VALUE(LEFT(D292,4)),VALUE(MID(D292,6,2)),VALUE(RIGHT(D292,2))),IF(LEN(D292)=7,DATE(VALUE(LEFT(D292,4)),VALUE(MID(D292,6,2)),15),DATE(VALUE(LEFT(D292,4)),7,1)))</f>
        <v>30209</v>
      </c>
      <c r="G292" s="6" t="n">
        <f aca="false">INDEX(Acts!$D:$D,MATCH(B292,Acts!$B:$B,0))</f>
        <v>30006</v>
      </c>
      <c r="H292" s="5" t="str">
        <f aca="false">IF(F292&gt;G292,"yes","no")</f>
        <v>yes</v>
      </c>
      <c r="I292" s="5" t="s">
        <v>218</v>
      </c>
      <c r="J292" s="5" t="n">
        <v>85</v>
      </c>
      <c r="K292" s="5" t="str">
        <f aca="false">IF(J292="","no","yes")</f>
        <v>yes</v>
      </c>
      <c r="L292" s="5"/>
      <c r="M292" s="7" t="n">
        <f aca="false">IF(L292="",0,IF(L292="Gold",0.5,IF(L292="Platinum",1,IF(L292="Diamond",10,IF(ISNUMBER(FIND("×",L292)),VALUE(LEFT(L292,FIND("×",L292)-1)),0)))))</f>
        <v>0</v>
      </c>
      <c r="N292" s="5" t="s">
        <v>1281</v>
      </c>
      <c r="O292" s="5"/>
    </row>
    <row r="293" customFormat="false" ht="15" hidden="false" customHeight="false" outlineLevel="0" collapsed="false">
      <c r="A293" s="5" t="s">
        <v>1288</v>
      </c>
      <c r="B293" s="5" t="s">
        <v>170</v>
      </c>
      <c r="C293" s="5" t="s">
        <v>1289</v>
      </c>
      <c r="D293" s="5" t="s">
        <v>1290</v>
      </c>
      <c r="E293" s="8" t="n">
        <f aca="false">VALUE(LEFT(D293,4))</f>
        <v>1983</v>
      </c>
      <c r="F293" s="6" t="n">
        <f aca="false">IF(LEN(D293)=10,DATE(VALUE(LEFT(D293,4)),VALUE(MID(D293,6,2)),VALUE(RIGHT(D293,2))),IF(LEN(D293)=7,DATE(VALUE(LEFT(D293,4)),VALUE(MID(D293,6,2)),15),DATE(VALUE(LEFT(D293,4)),7,1)))</f>
        <v>30543</v>
      </c>
      <c r="G293" s="6" t="n">
        <f aca="false">INDEX(Acts!$D:$D,MATCH(B293,Acts!$B:$B,0))</f>
        <v>30006</v>
      </c>
      <c r="H293" s="5" t="str">
        <f aca="false">IF(F293&gt;G293,"yes","no")</f>
        <v>yes</v>
      </c>
      <c r="I293" s="5" t="s">
        <v>218</v>
      </c>
      <c r="J293" s="5" t="n">
        <v>33</v>
      </c>
      <c r="K293" s="5" t="str">
        <f aca="false">IF(J293="","no","yes")</f>
        <v>yes</v>
      </c>
      <c r="L293" s="5"/>
      <c r="M293" s="7" t="n">
        <f aca="false">IF(L293="",0,IF(L293="Gold",0.5,IF(L293="Platinum",1,IF(L293="Diamond",10,IF(ISNUMBER(FIND("×",L293)),VALUE(LEFT(L293,FIND("×",L293)-1)),0)))))</f>
        <v>0</v>
      </c>
      <c r="N293" s="5" t="s">
        <v>1281</v>
      </c>
      <c r="O293" s="5"/>
    </row>
    <row r="294" customFormat="false" ht="15" hidden="false" customHeight="false" outlineLevel="0" collapsed="false">
      <c r="A294" s="5" t="s">
        <v>1291</v>
      </c>
      <c r="B294" s="5" t="s">
        <v>170</v>
      </c>
      <c r="C294" s="5" t="s">
        <v>1292</v>
      </c>
      <c r="D294" s="5" t="s">
        <v>1293</v>
      </c>
      <c r="E294" s="8" t="n">
        <f aca="false">VALUE(LEFT(D294,4))</f>
        <v>1984</v>
      </c>
      <c r="F294" s="6" t="n">
        <f aca="false">IF(LEN(D294)=10,DATE(VALUE(LEFT(D294,4)),VALUE(MID(D294,6,2)),VALUE(RIGHT(D294,2))),IF(LEN(D294)=7,DATE(VALUE(LEFT(D294,4)),VALUE(MID(D294,6,2)),15),DATE(VALUE(LEFT(D294,4)),7,1)))</f>
        <v>30946</v>
      </c>
      <c r="G294" s="6" t="n">
        <f aca="false">INDEX(Acts!$D:$D,MATCH(B294,Acts!$B:$B,0))</f>
        <v>30006</v>
      </c>
      <c r="H294" s="5" t="str">
        <f aca="false">IF(F294&gt;G294,"yes","no")</f>
        <v>yes</v>
      </c>
      <c r="I294" s="5" t="s">
        <v>218</v>
      </c>
      <c r="J294" s="5" t="n">
        <v>15</v>
      </c>
      <c r="K294" s="5" t="str">
        <f aca="false">IF(J294="","no","yes")</f>
        <v>yes</v>
      </c>
      <c r="L294" s="5" t="s">
        <v>219</v>
      </c>
      <c r="M294" s="7" t="n">
        <f aca="false">IF(L294="",0,IF(L294="Gold",0.5,IF(L294="Platinum",1,IF(L294="Diamond",10,IF(ISNUMBER(FIND("×",L294)),VALUE(LEFT(L294,FIND("×",L294)-1)),0)))))</f>
        <v>1</v>
      </c>
      <c r="N294" s="5" t="s">
        <v>1294</v>
      </c>
      <c r="O294" s="5" t="s">
        <v>1295</v>
      </c>
    </row>
    <row r="295" customFormat="false" ht="15" hidden="false" customHeight="false" outlineLevel="0" collapsed="false">
      <c r="A295" s="5" t="s">
        <v>1296</v>
      </c>
      <c r="B295" s="5" t="s">
        <v>170</v>
      </c>
      <c r="C295" s="5" t="s">
        <v>1297</v>
      </c>
      <c r="D295" s="5" t="s">
        <v>1298</v>
      </c>
      <c r="E295" s="8" t="n">
        <f aca="false">VALUE(LEFT(D295,4))</f>
        <v>1985</v>
      </c>
      <c r="F295" s="6" t="n">
        <f aca="false">IF(LEN(D295)=10,DATE(VALUE(LEFT(D295,4)),VALUE(MID(D295,6,2)),VALUE(RIGHT(D295,2))),IF(LEN(D295)=7,DATE(VALUE(LEFT(D295,4)),VALUE(MID(D295,6,2)),15),DATE(VALUE(LEFT(D295,4)),7,1)))</f>
        <v>31366</v>
      </c>
      <c r="G295" s="6" t="n">
        <f aca="false">INDEX(Acts!$D:$D,MATCH(B295,Acts!$B:$B,0))</f>
        <v>30006</v>
      </c>
      <c r="H295" s="5" t="str">
        <f aca="false">IF(F295&gt;G295,"yes","no")</f>
        <v>yes</v>
      </c>
      <c r="I295" s="5" t="s">
        <v>218</v>
      </c>
      <c r="J295" s="5" t="n">
        <v>40</v>
      </c>
      <c r="K295" s="5" t="str">
        <f aca="false">IF(J295="","no","yes")</f>
        <v>yes</v>
      </c>
      <c r="L295" s="5" t="s">
        <v>271</v>
      </c>
      <c r="M295" s="7" t="n">
        <f aca="false">IF(L295="",0,IF(L295="Gold",0.5,IF(L295="Platinum",1,IF(L295="Diamond",10,IF(ISNUMBER(FIND("×",L295)),VALUE(LEFT(L295,FIND("×",L295)-1)),0)))))</f>
        <v>0.5</v>
      </c>
      <c r="N295" s="5" t="s">
        <v>1281</v>
      </c>
      <c r="O295" s="5"/>
    </row>
    <row r="296" customFormat="false" ht="15" hidden="false" customHeight="false" outlineLevel="0" collapsed="false">
      <c r="A296" s="5" t="s">
        <v>1299</v>
      </c>
      <c r="B296" s="5" t="s">
        <v>170</v>
      </c>
      <c r="C296" s="5" t="s">
        <v>1300</v>
      </c>
      <c r="D296" s="5" t="s">
        <v>1301</v>
      </c>
      <c r="E296" s="8" t="n">
        <f aca="false">VALUE(LEFT(D296,4))</f>
        <v>1987</v>
      </c>
      <c r="F296" s="6" t="n">
        <f aca="false">IF(LEN(D296)=10,DATE(VALUE(LEFT(D296,4)),VALUE(MID(D296,6,2)),VALUE(RIGHT(D296,2))),IF(LEN(D296)=7,DATE(VALUE(LEFT(D296,4)),VALUE(MID(D296,6,2)),15),DATE(VALUE(LEFT(D296,4)),7,1)))</f>
        <v>31975</v>
      </c>
      <c r="G296" s="6" t="n">
        <f aca="false">INDEX(Acts!$D:$D,MATCH(B296,Acts!$B:$B,0))</f>
        <v>30006</v>
      </c>
      <c r="H296" s="5" t="str">
        <f aca="false">IF(F296&gt;G296,"yes","no")</f>
        <v>yes</v>
      </c>
      <c r="I296" s="5" t="s">
        <v>240</v>
      </c>
      <c r="J296" s="5"/>
      <c r="K296" s="5" t="str">
        <f aca="false">IF(J296="","no","yes")</f>
        <v>no</v>
      </c>
      <c r="L296" s="5"/>
      <c r="M296" s="7" t="n">
        <f aca="false">IF(L296="",0,IF(L296="Gold",0.5,IF(L296="Platinum",1,IF(L296="Diamond",10,IF(ISNUMBER(FIND("×",L296)),VALUE(LEFT(L296,FIND("×",L296)-1)),0)))))</f>
        <v>0</v>
      </c>
      <c r="N296" s="5" t="s">
        <v>1302</v>
      </c>
      <c r="O296" s="5" t="s">
        <v>1303</v>
      </c>
    </row>
    <row r="297" customFormat="false" ht="15" hidden="false" customHeight="false" outlineLevel="0" collapsed="false">
      <c r="A297" s="5" t="s">
        <v>1304</v>
      </c>
      <c r="B297" s="5" t="s">
        <v>170</v>
      </c>
      <c r="C297" s="5" t="s">
        <v>1305</v>
      </c>
      <c r="D297" s="5" t="s">
        <v>1306</v>
      </c>
      <c r="E297" s="8" t="n">
        <f aca="false">VALUE(LEFT(D297,4))</f>
        <v>1988</v>
      </c>
      <c r="F297" s="6" t="n">
        <f aca="false">IF(LEN(D297)=10,DATE(VALUE(LEFT(D297,4)),VALUE(MID(D297,6,2)),VALUE(RIGHT(D297,2))),IF(LEN(D297)=7,DATE(VALUE(LEFT(D297,4)),VALUE(MID(D297,6,2)),15),DATE(VALUE(LEFT(D297,4)),7,1)))</f>
        <v>32462</v>
      </c>
      <c r="G297" s="6" t="n">
        <f aca="false">INDEX(Acts!$D:$D,MATCH(B297,Acts!$B:$B,0))</f>
        <v>30006</v>
      </c>
      <c r="H297" s="5" t="str">
        <f aca="false">IF(F297&gt;G297,"yes","no")</f>
        <v>yes</v>
      </c>
      <c r="I297" s="5" t="s">
        <v>218</v>
      </c>
      <c r="J297" s="5" t="n">
        <v>44</v>
      </c>
      <c r="K297" s="5" t="str">
        <f aca="false">IF(J297="","no","yes")</f>
        <v>yes</v>
      </c>
      <c r="L297" s="5" t="s">
        <v>271</v>
      </c>
      <c r="M297" s="7" t="n">
        <f aca="false">IF(L297="",0,IF(L297="Gold",0.5,IF(L297="Platinum",1,IF(L297="Diamond",10,IF(ISNUMBER(FIND("×",L297)),VALUE(LEFT(L297,FIND("×",L297)-1)),0)))))</f>
        <v>0.5</v>
      </c>
      <c r="N297" s="5" t="s">
        <v>1281</v>
      </c>
      <c r="O297" s="5"/>
    </row>
    <row r="298" customFormat="false" ht="15" hidden="false" customHeight="false" outlineLevel="0" collapsed="false">
      <c r="A298" s="5" t="s">
        <v>1307</v>
      </c>
      <c r="B298" s="5" t="s">
        <v>170</v>
      </c>
      <c r="C298" s="5" t="s">
        <v>1308</v>
      </c>
      <c r="D298" s="5" t="s">
        <v>1309</v>
      </c>
      <c r="E298" s="8" t="n">
        <f aca="false">VALUE(LEFT(D298,4))</f>
        <v>1991</v>
      </c>
      <c r="F298" s="6" t="n">
        <f aca="false">IF(LEN(D298)=10,DATE(VALUE(LEFT(D298,4)),VALUE(MID(D298,6,2)),VALUE(RIGHT(D298,2))),IF(LEN(D298)=7,DATE(VALUE(LEFT(D298,4)),VALUE(MID(D298,6,2)),15),DATE(VALUE(LEFT(D298,4)),7,1)))</f>
        <v>33344</v>
      </c>
      <c r="G298" s="6" t="n">
        <f aca="false">INDEX(Acts!$D:$D,MATCH(B298,Acts!$B:$B,0))</f>
        <v>30006</v>
      </c>
      <c r="H298" s="5" t="str">
        <f aca="false">IF(F298&gt;G298,"yes","no")</f>
        <v>yes</v>
      </c>
      <c r="I298" s="5" t="s">
        <v>218</v>
      </c>
      <c r="J298" s="5" t="n">
        <v>90</v>
      </c>
      <c r="K298" s="5" t="str">
        <f aca="false">IF(J298="","no","yes")</f>
        <v>yes</v>
      </c>
      <c r="L298" s="5"/>
      <c r="M298" s="7" t="n">
        <f aca="false">IF(L298="",0,IF(L298="Gold",0.5,IF(L298="Platinum",1,IF(L298="Diamond",10,IF(ISNUMBER(FIND("×",L298)),VALUE(LEFT(L298,FIND("×",L298)-1)),0)))))</f>
        <v>0</v>
      </c>
      <c r="N298" s="5" t="s">
        <v>1281</v>
      </c>
      <c r="O298" s="5"/>
    </row>
    <row r="299" customFormat="false" ht="15" hidden="false" customHeight="false" outlineLevel="0" collapsed="false">
      <c r="A299" s="5" t="s">
        <v>1310</v>
      </c>
      <c r="B299" s="5" t="s">
        <v>170</v>
      </c>
      <c r="C299" s="5" t="s">
        <v>1311</v>
      </c>
      <c r="D299" s="5" t="s">
        <v>1312</v>
      </c>
      <c r="E299" s="8" t="n">
        <f aca="false">VALUE(LEFT(D299,4))</f>
        <v>1993</v>
      </c>
      <c r="F299" s="6" t="n">
        <f aca="false">IF(LEN(D299)=10,DATE(VALUE(LEFT(D299,4)),VALUE(MID(D299,6,2)),VALUE(RIGHT(D299,2))),IF(LEN(D299)=7,DATE(VALUE(LEFT(D299,4)),VALUE(MID(D299,6,2)),15),DATE(VALUE(LEFT(D299,4)),7,1)))</f>
        <v>34194</v>
      </c>
      <c r="G299" s="6" t="n">
        <f aca="false">INDEX(Acts!$D:$D,MATCH(B299,Acts!$B:$B,0))</f>
        <v>30006</v>
      </c>
      <c r="H299" s="5" t="str">
        <f aca="false">IF(F299&gt;G299,"yes","no")</f>
        <v>yes</v>
      </c>
      <c r="I299" s="5" t="s">
        <v>230</v>
      </c>
      <c r="J299" s="5"/>
      <c r="K299" s="5" t="str">
        <f aca="false">IF(J299="","no","yes")</f>
        <v>no</v>
      </c>
      <c r="L299" s="5"/>
      <c r="M299" s="7" t="n">
        <f aca="false">IF(L299="",0,IF(L299="Gold",0.5,IF(L299="Platinum",1,IF(L299="Diamond",10,IF(ISNUMBER(FIND("×",L299)),VALUE(LEFT(L299,FIND("×",L299)-1)),0)))))</f>
        <v>0</v>
      </c>
      <c r="N299" s="5" t="s">
        <v>1313</v>
      </c>
      <c r="O299" s="5" t="s">
        <v>1314</v>
      </c>
    </row>
    <row r="300" customFormat="false" ht="15" hidden="false" customHeight="false" outlineLevel="0" collapsed="false">
      <c r="A300" s="5" t="s">
        <v>1315</v>
      </c>
      <c r="B300" s="5" t="s">
        <v>170</v>
      </c>
      <c r="C300" s="5" t="s">
        <v>1316</v>
      </c>
      <c r="D300" s="5" t="s">
        <v>1317</v>
      </c>
      <c r="E300" s="8" t="n">
        <f aca="false">VALUE(LEFT(D300,4))</f>
        <v>1995</v>
      </c>
      <c r="F300" s="6" t="n">
        <f aca="false">IF(LEN(D300)=10,DATE(VALUE(LEFT(D300,4)),VALUE(MID(D300,6,2)),VALUE(RIGHT(D300,2))),IF(LEN(D300)=7,DATE(VALUE(LEFT(D300,4)),VALUE(MID(D300,6,2)),15),DATE(VALUE(LEFT(D300,4)),7,1)))</f>
        <v>34772</v>
      </c>
      <c r="G300" s="6" t="n">
        <f aca="false">INDEX(Acts!$D:$D,MATCH(B300,Acts!$B:$B,0))</f>
        <v>30006</v>
      </c>
      <c r="H300" s="5" t="str">
        <f aca="false">IF(F300&gt;G300,"yes","no")</f>
        <v>yes</v>
      </c>
      <c r="I300" s="5" t="s">
        <v>230</v>
      </c>
      <c r="J300" s="5"/>
      <c r="K300" s="5" t="str">
        <f aca="false">IF(J300="","no","yes")</f>
        <v>no</v>
      </c>
      <c r="L300" s="5"/>
      <c r="M300" s="7" t="n">
        <f aca="false">IF(L300="",0,IF(L300="Gold",0.5,IF(L300="Platinum",1,IF(L300="Diamond",10,IF(ISNUMBER(FIND("×",L300)),VALUE(LEFT(L300,FIND("×",L300)-1)),0)))))</f>
        <v>0</v>
      </c>
      <c r="N300" s="5" t="s">
        <v>1318</v>
      </c>
      <c r="O300" s="5" t="s">
        <v>1314</v>
      </c>
    </row>
    <row r="301" customFormat="false" ht="15" hidden="false" customHeight="false" outlineLevel="0" collapsed="false">
      <c r="A301" s="5" t="s">
        <v>1319</v>
      </c>
      <c r="B301" s="5" t="s">
        <v>170</v>
      </c>
      <c r="C301" s="5" t="s">
        <v>1320</v>
      </c>
      <c r="D301" s="5" t="s">
        <v>1321</v>
      </c>
      <c r="E301" s="8" t="n">
        <f aca="false">VALUE(LEFT(D301,4))</f>
        <v>1997</v>
      </c>
      <c r="F301" s="6" t="n">
        <f aca="false">IF(LEN(D301)=10,DATE(VALUE(LEFT(D301,4)),VALUE(MID(D301,6,2)),VALUE(RIGHT(D301,2))),IF(LEN(D301)=7,DATE(VALUE(LEFT(D301,4)),VALUE(MID(D301,6,2)),15),DATE(VALUE(LEFT(D301,4)),7,1)))</f>
        <v>35543</v>
      </c>
      <c r="G301" s="6" t="n">
        <f aca="false">INDEX(Acts!$D:$D,MATCH(B301,Acts!$B:$B,0))</f>
        <v>30006</v>
      </c>
      <c r="H301" s="5" t="str">
        <f aca="false">IF(F301&gt;G301,"yes","no")</f>
        <v>yes</v>
      </c>
      <c r="I301" s="5" t="s">
        <v>240</v>
      </c>
      <c r="J301" s="5"/>
      <c r="K301" s="5" t="str">
        <f aca="false">IF(J301="","no","yes")</f>
        <v>no</v>
      </c>
      <c r="L301" s="5"/>
      <c r="M301" s="7" t="n">
        <f aca="false">IF(L301="",0,IF(L301="Gold",0.5,IF(L301="Platinum",1,IF(L301="Diamond",10,IF(ISNUMBER(FIND("×",L301)),VALUE(LEFT(L301,FIND("×",L301)-1)),0)))))</f>
        <v>0</v>
      </c>
      <c r="N301" s="5" t="s">
        <v>1322</v>
      </c>
      <c r="O301" s="5" t="s">
        <v>1323</v>
      </c>
    </row>
    <row r="302" customFormat="false" ht="15" hidden="false" customHeight="false" outlineLevel="0" collapsed="false">
      <c r="A302" s="5" t="s">
        <v>1324</v>
      </c>
      <c r="B302" s="5" t="s">
        <v>170</v>
      </c>
      <c r="C302" s="5" t="s">
        <v>1325</v>
      </c>
      <c r="D302" s="5" t="s">
        <v>1326</v>
      </c>
      <c r="E302" s="8" t="n">
        <f aca="false">VALUE(LEFT(D302,4))</f>
        <v>1999</v>
      </c>
      <c r="F302" s="6" t="n">
        <f aca="false">IF(LEN(D302)=10,DATE(VALUE(LEFT(D302,4)),VALUE(MID(D302,6,2)),VALUE(RIGHT(D302,2))),IF(LEN(D302)=7,DATE(VALUE(LEFT(D302,4)),VALUE(MID(D302,6,2)),15),DATE(VALUE(LEFT(D302,4)),7,1)))</f>
        <v>36239</v>
      </c>
      <c r="G302" s="6" t="n">
        <f aca="false">INDEX(Acts!$D:$D,MATCH(B302,Acts!$B:$B,0))</f>
        <v>30006</v>
      </c>
      <c r="H302" s="5" t="str">
        <f aca="false">IF(F302&gt;G302,"yes","no")</f>
        <v>yes</v>
      </c>
      <c r="I302" s="5" t="s">
        <v>240</v>
      </c>
      <c r="J302" s="5"/>
      <c r="K302" s="5" t="str">
        <f aca="false">IF(J302="","no","yes")</f>
        <v>no</v>
      </c>
      <c r="L302" s="5"/>
      <c r="M302" s="7" t="n">
        <f aca="false">IF(L302="",0,IF(L302="Gold",0.5,IF(L302="Platinum",1,IF(L302="Diamond",10,IF(ISNUMBER(FIND("×",L302)),VALUE(LEFT(L302,FIND("×",L302)-1)),0)))))</f>
        <v>0</v>
      </c>
      <c r="N302" s="5" t="s">
        <v>1327</v>
      </c>
      <c r="O302" s="5" t="s">
        <v>1328</v>
      </c>
    </row>
    <row r="303" customFormat="false" ht="15" hidden="false" customHeight="false" outlineLevel="0" collapsed="false">
      <c r="A303" s="5" t="s">
        <v>1329</v>
      </c>
      <c r="B303" s="5" t="s">
        <v>170</v>
      </c>
      <c r="C303" s="5" t="s">
        <v>1330</v>
      </c>
      <c r="D303" s="5" t="s">
        <v>1274</v>
      </c>
      <c r="E303" s="8" t="n">
        <f aca="false">VALUE(LEFT(D303,4))</f>
        <v>2000</v>
      </c>
      <c r="F303" s="6" t="n">
        <f aca="false">IF(LEN(D303)=10,DATE(VALUE(LEFT(D303,4)),VALUE(MID(D303,6,2)),VALUE(RIGHT(D303,2))),IF(LEN(D303)=7,DATE(VALUE(LEFT(D303,4)),VALUE(MID(D303,6,2)),15),DATE(VALUE(LEFT(D303,4)),7,1)))</f>
        <v>36843</v>
      </c>
      <c r="G303" s="6" t="n">
        <f aca="false">INDEX(Acts!$D:$D,MATCH(B303,Acts!$B:$B,0))</f>
        <v>30006</v>
      </c>
      <c r="H303" s="5" t="str">
        <f aca="false">IF(F303&gt;G303,"yes","no")</f>
        <v>yes</v>
      </c>
      <c r="I303" s="5" t="s">
        <v>240</v>
      </c>
      <c r="J303" s="5"/>
      <c r="K303" s="5" t="str">
        <f aca="false">IF(J303="","no","yes")</f>
        <v>no</v>
      </c>
      <c r="L303" s="5"/>
      <c r="M303" s="7" t="n">
        <f aca="false">IF(L303="",0,IF(L303="Gold",0.5,IF(L303="Platinum",1,IF(L303="Diamond",10,IF(ISNUMBER(FIND("×",L303)),VALUE(LEFT(L303,FIND("×",L303)-1)),0)))))</f>
        <v>0</v>
      </c>
      <c r="N303" s="5" t="s">
        <v>1331</v>
      </c>
      <c r="O303" s="5" t="s">
        <v>1332</v>
      </c>
    </row>
    <row r="304" customFormat="false" ht="15" hidden="false" customHeight="false" outlineLevel="0" collapsed="false">
      <c r="A304" s="5" t="s">
        <v>1333</v>
      </c>
      <c r="B304" s="5" t="s">
        <v>172</v>
      </c>
      <c r="C304" s="5" t="s">
        <v>1334</v>
      </c>
      <c r="D304" s="5" t="s">
        <v>1335</v>
      </c>
      <c r="E304" s="8" t="n">
        <f aca="false">VALUE(LEFT(D304,4))</f>
        <v>1984</v>
      </c>
      <c r="F304" s="6" t="n">
        <f aca="false">IF(LEN(D304)=10,DATE(VALUE(LEFT(D304,4)),VALUE(MID(D304,6,2)),VALUE(RIGHT(D304,2))),IF(LEN(D304)=7,DATE(VALUE(LEFT(D304,4)),VALUE(MID(D304,6,2)),15),DATE(VALUE(LEFT(D304,4)),7,1)))</f>
        <v>30837</v>
      </c>
      <c r="G304" s="6" t="n">
        <f aca="false">INDEX(Acts!$D:$D,MATCH(B304,Acts!$B:$B,0))</f>
        <v>31104</v>
      </c>
      <c r="H304" s="5" t="str">
        <f aca="false">IF(F304&gt;G304,"yes","no")</f>
        <v>no</v>
      </c>
      <c r="I304" s="5" t="s">
        <v>218</v>
      </c>
      <c r="J304" s="5" t="n">
        <v>28</v>
      </c>
      <c r="K304" s="5" t="str">
        <f aca="false">IF(J304="","no","yes")</f>
        <v>yes</v>
      </c>
      <c r="L304" s="5" t="s">
        <v>271</v>
      </c>
      <c r="M304" s="7" t="n">
        <f aca="false">IF(L304="",0,IF(L304="Gold",0.5,IF(L304="Platinum",1,IF(L304="Diamond",10,IF(ISNUMBER(FIND("×",L304)),VALUE(LEFT(L304,FIND("×",L304)-1)),0)))))</f>
        <v>0.5</v>
      </c>
      <c r="N304" s="5" t="s">
        <v>1336</v>
      </c>
      <c r="O304" s="5"/>
    </row>
    <row r="305" customFormat="false" ht="15" hidden="false" customHeight="false" outlineLevel="0" collapsed="false">
      <c r="A305" s="5" t="s">
        <v>1337</v>
      </c>
      <c r="B305" s="5" t="s">
        <v>172</v>
      </c>
      <c r="C305" s="5" t="s">
        <v>1338</v>
      </c>
      <c r="D305" s="5" t="s">
        <v>1339</v>
      </c>
      <c r="E305" s="8" t="n">
        <f aca="false">VALUE(LEFT(D305,4))</f>
        <v>1985</v>
      </c>
      <c r="F305" s="6" t="n">
        <f aca="false">IF(LEN(D305)=10,DATE(VALUE(LEFT(D305,4)),VALUE(MID(D305,6,2)),VALUE(RIGHT(D305,2))),IF(LEN(D305)=7,DATE(VALUE(LEFT(D305,4)),VALUE(MID(D305,6,2)),15),DATE(VALUE(LEFT(D305,4)),7,1)))</f>
        <v>31285</v>
      </c>
      <c r="G305" s="6" t="n">
        <f aca="false">INDEX(Acts!$D:$D,MATCH(B305,Acts!$B:$B,0))</f>
        <v>31104</v>
      </c>
      <c r="H305" s="5" t="str">
        <f aca="false">IF(F305&gt;G305,"yes","no")</f>
        <v>yes</v>
      </c>
      <c r="I305" s="5" t="s">
        <v>218</v>
      </c>
      <c r="J305" s="5" t="n">
        <v>50</v>
      </c>
      <c r="K305" s="5" t="str">
        <f aca="false">IF(J305="","no","yes")</f>
        <v>yes</v>
      </c>
      <c r="L305" s="5" t="s">
        <v>271</v>
      </c>
      <c r="M305" s="7" t="n">
        <f aca="false">IF(L305="",0,IF(L305="Gold",0.5,IF(L305="Platinum",1,IF(L305="Diamond",10,IF(ISNUMBER(FIND("×",L305)),VALUE(LEFT(L305,FIND("×",L305)-1)),0)))))</f>
        <v>0.5</v>
      </c>
      <c r="N305" s="5" t="s">
        <v>1336</v>
      </c>
      <c r="O305" s="5"/>
    </row>
    <row r="306" customFormat="false" ht="15" hidden="false" customHeight="false" outlineLevel="0" collapsed="false">
      <c r="A306" s="5" t="s">
        <v>1340</v>
      </c>
      <c r="B306" s="5" t="s">
        <v>172</v>
      </c>
      <c r="C306" s="5" t="s">
        <v>172</v>
      </c>
      <c r="D306" s="5" t="s">
        <v>1341</v>
      </c>
      <c r="E306" s="8" t="n">
        <f aca="false">VALUE(LEFT(D306,4))</f>
        <v>1987</v>
      </c>
      <c r="F306" s="6" t="n">
        <f aca="false">IF(LEN(D306)=10,DATE(VALUE(LEFT(D306,4)),VALUE(MID(D306,6,2)),VALUE(RIGHT(D306,2))),IF(LEN(D306)=7,DATE(VALUE(LEFT(D306,4)),VALUE(MID(D306,6,2)),15),DATE(VALUE(LEFT(D306,4)),7,1)))</f>
        <v>31832</v>
      </c>
      <c r="G306" s="6" t="n">
        <f aca="false">INDEX(Acts!$D:$D,MATCH(B306,Acts!$B:$B,0))</f>
        <v>31104</v>
      </c>
      <c r="H306" s="5" t="str">
        <f aca="false">IF(F306&gt;G306,"yes","no")</f>
        <v>yes</v>
      </c>
      <c r="I306" s="5" t="s">
        <v>218</v>
      </c>
      <c r="J306" s="5" t="n">
        <v>56</v>
      </c>
      <c r="K306" s="5" t="str">
        <f aca="false">IF(J306="","no","yes")</f>
        <v>yes</v>
      </c>
      <c r="L306" s="5"/>
      <c r="M306" s="7" t="n">
        <f aca="false">IF(L306="",0,IF(L306="Gold",0.5,IF(L306="Platinum",1,IF(L306="Diamond",10,IF(ISNUMBER(FIND("×",L306)),VALUE(LEFT(L306,FIND("×",L306)-1)),0)))))</f>
        <v>0</v>
      </c>
      <c r="N306" s="5" t="s">
        <v>1336</v>
      </c>
      <c r="O306" s="5"/>
    </row>
    <row r="307" customFormat="false" ht="15" hidden="false" customHeight="false" outlineLevel="0" collapsed="false">
      <c r="A307" s="5" t="s">
        <v>1342</v>
      </c>
      <c r="B307" s="5" t="s">
        <v>172</v>
      </c>
      <c r="C307" s="5" t="s">
        <v>1343</v>
      </c>
      <c r="D307" s="5" t="s">
        <v>1344</v>
      </c>
      <c r="E307" s="8" t="n">
        <f aca="false">VALUE(LEFT(D307,4))</f>
        <v>1991</v>
      </c>
      <c r="F307" s="6" t="n">
        <f aca="false">IF(LEN(D307)=10,DATE(VALUE(LEFT(D307,4)),VALUE(MID(D307,6,2)),VALUE(RIGHT(D307,2))),IF(LEN(D307)=7,DATE(VALUE(LEFT(D307,4)),VALUE(MID(D307,6,2)),15),DATE(VALUE(LEFT(D307,4)),7,1)))</f>
        <v>33338</v>
      </c>
      <c r="G307" s="6" t="n">
        <f aca="false">INDEX(Acts!$D:$D,MATCH(B307,Acts!$B:$B,0))</f>
        <v>31104</v>
      </c>
      <c r="H307" s="5" t="str">
        <f aca="false">IF(F307&gt;G307,"yes","no")</f>
        <v>yes</v>
      </c>
      <c r="I307" s="5" t="s">
        <v>218</v>
      </c>
      <c r="J307" s="5" t="n">
        <v>146</v>
      </c>
      <c r="K307" s="5" t="str">
        <f aca="false">IF(J307="","no","yes")</f>
        <v>yes</v>
      </c>
      <c r="L307" s="5"/>
      <c r="M307" s="7" t="n">
        <f aca="false">IF(L307="",0,IF(L307="Gold",0.5,IF(L307="Platinum",1,IF(L307="Diamond",10,IF(ISNUMBER(FIND("×",L307)),VALUE(LEFT(L307,FIND("×",L307)-1)),0)))))</f>
        <v>0</v>
      </c>
      <c r="N307" s="5" t="s">
        <v>1336</v>
      </c>
      <c r="O307" s="5"/>
    </row>
    <row r="308" customFormat="false" ht="15" hidden="false" customHeight="false" outlineLevel="0" collapsed="false">
      <c r="A308" s="5" t="s">
        <v>1345</v>
      </c>
      <c r="B308" s="5" t="s">
        <v>172</v>
      </c>
      <c r="C308" s="5" t="s">
        <v>1346</v>
      </c>
      <c r="D308" s="5" t="s">
        <v>1347</v>
      </c>
      <c r="E308" s="8" t="n">
        <f aca="false">VALUE(LEFT(D308,4))</f>
        <v>2000</v>
      </c>
      <c r="F308" s="6" t="n">
        <f aca="false">IF(LEN(D308)=10,DATE(VALUE(LEFT(D308,4)),VALUE(MID(D308,6,2)),VALUE(RIGHT(D308,2))),IF(LEN(D308)=7,DATE(VALUE(LEFT(D308,4)),VALUE(MID(D308,6,2)),15),DATE(VALUE(LEFT(D308,4)),7,1)))</f>
        <v>36809</v>
      </c>
      <c r="G308" s="6" t="n">
        <f aca="false">INDEX(Acts!$D:$D,MATCH(B308,Acts!$B:$B,0))</f>
        <v>31104</v>
      </c>
      <c r="H308" s="5" t="str">
        <f aca="false">IF(F308&gt;G308,"yes","no")</f>
        <v>yes</v>
      </c>
      <c r="I308" s="5" t="s">
        <v>230</v>
      </c>
      <c r="J308" s="5"/>
      <c r="K308" s="5" t="str">
        <f aca="false">IF(J308="","no","yes")</f>
        <v>no</v>
      </c>
      <c r="L308" s="5"/>
      <c r="M308" s="7" t="n">
        <f aca="false">IF(L308="",0,IF(L308="Gold",0.5,IF(L308="Platinum",1,IF(L308="Diamond",10,IF(ISNUMBER(FIND("×",L308)),VALUE(LEFT(L308,FIND("×",L308)-1)),0)))))</f>
        <v>0</v>
      </c>
      <c r="N308" s="5" t="s">
        <v>1336</v>
      </c>
      <c r="O308" s="5" t="s">
        <v>1348</v>
      </c>
    </row>
    <row r="309" customFormat="false" ht="15" hidden="false" customHeight="false" outlineLevel="0" collapsed="false">
      <c r="A309" s="5" t="s">
        <v>1349</v>
      </c>
      <c r="B309" s="5" t="s">
        <v>172</v>
      </c>
      <c r="C309" s="5" t="s">
        <v>1350</v>
      </c>
      <c r="D309" s="5" t="s">
        <v>1351</v>
      </c>
      <c r="E309" s="8" t="n">
        <f aca="false">VALUE(LEFT(D309,4))</f>
        <v>2001</v>
      </c>
      <c r="F309" s="6" t="n">
        <f aca="false">IF(LEN(D309)=10,DATE(VALUE(LEFT(D309,4)),VALUE(MID(D309,6,2)),VALUE(RIGHT(D309,2))),IF(LEN(D309)=7,DATE(VALUE(LEFT(D309,4)),VALUE(MID(D309,6,2)),15),DATE(VALUE(LEFT(D309,4)),7,1)))</f>
        <v>37131</v>
      </c>
      <c r="G309" s="6" t="n">
        <f aca="false">INDEX(Acts!$D:$D,MATCH(B309,Acts!$B:$B,0))</f>
        <v>31104</v>
      </c>
      <c r="H309" s="5" t="str">
        <f aca="false">IF(F309&gt;G309,"yes","no")</f>
        <v>yes</v>
      </c>
      <c r="I309" s="5" t="s">
        <v>230</v>
      </c>
      <c r="J309" s="5"/>
      <c r="K309" s="5" t="str">
        <f aca="false">IF(J309="","no","yes")</f>
        <v>no</v>
      </c>
      <c r="L309" s="5"/>
      <c r="M309" s="7" t="n">
        <f aca="false">IF(L309="",0,IF(L309="Gold",0.5,IF(L309="Platinum",1,IF(L309="Diamond",10,IF(ISNUMBER(FIND("×",L309)),VALUE(LEFT(L309,FIND("×",L309)-1)),0)))))</f>
        <v>0</v>
      </c>
      <c r="N309" s="5" t="s">
        <v>1336</v>
      </c>
      <c r="O309" s="5" t="s">
        <v>1348</v>
      </c>
    </row>
    <row r="310" customFormat="false" ht="15" hidden="false" customHeight="false" outlineLevel="0" collapsed="false">
      <c r="A310" s="5" t="s">
        <v>1352</v>
      </c>
      <c r="B310" s="5" t="s">
        <v>172</v>
      </c>
      <c r="C310" s="5" t="s">
        <v>1353</v>
      </c>
      <c r="D310" s="5" t="s">
        <v>1354</v>
      </c>
      <c r="E310" s="8" t="n">
        <f aca="false">VALUE(LEFT(D310,4))</f>
        <v>2013</v>
      </c>
      <c r="F310" s="6" t="n">
        <f aca="false">IF(LEN(D310)=10,DATE(VALUE(LEFT(D310,4)),VALUE(MID(D310,6,2)),VALUE(RIGHT(D310,2))),IF(LEN(D310)=7,DATE(VALUE(LEFT(D310,4)),VALUE(MID(D310,6,2)),15),DATE(VALUE(LEFT(D310,4)),7,1)))</f>
        <v>41586</v>
      </c>
      <c r="G310" s="6" t="n">
        <f aca="false">INDEX(Acts!$D:$D,MATCH(B310,Acts!$B:$B,0))</f>
        <v>31104</v>
      </c>
      <c r="H310" s="5" t="str">
        <f aca="false">IF(F310&gt;G310,"yes","no")</f>
        <v>yes</v>
      </c>
      <c r="I310" s="5" t="s">
        <v>230</v>
      </c>
      <c r="J310" s="5"/>
      <c r="K310" s="5" t="str">
        <f aca="false">IF(J310="","no","yes")</f>
        <v>no</v>
      </c>
      <c r="L310" s="5"/>
      <c r="M310" s="7" t="n">
        <f aca="false">IF(L310="",0,IF(L310="Gold",0.5,IF(L310="Platinum",1,IF(L310="Diamond",10,IF(ISNUMBER(FIND("×",L310)),VALUE(LEFT(L310,FIND("×",L310)-1)),0)))))</f>
        <v>0</v>
      </c>
      <c r="N310" s="5" t="s">
        <v>1336</v>
      </c>
      <c r="O310" s="5" t="s">
        <v>1348</v>
      </c>
    </row>
    <row r="311" customFormat="false" ht="15" hidden="false" customHeight="false" outlineLevel="0" collapsed="false">
      <c r="A311" s="5" t="s">
        <v>1355</v>
      </c>
      <c r="B311" s="5" t="s">
        <v>172</v>
      </c>
      <c r="C311" s="5" t="s">
        <v>1356</v>
      </c>
      <c r="D311" s="5" t="s">
        <v>1357</v>
      </c>
      <c r="E311" s="8" t="n">
        <f aca="false">VALUE(LEFT(D311,4))</f>
        <v>2017</v>
      </c>
      <c r="F311" s="6" t="n">
        <f aca="false">IF(LEN(D311)=10,DATE(VALUE(LEFT(D311,4)),VALUE(MID(D311,6,2)),VALUE(RIGHT(D311,2))),IF(LEN(D311)=7,DATE(VALUE(LEFT(D311,4)),VALUE(MID(D311,6,2)),15),DATE(VALUE(LEFT(D311,4)),7,1)))</f>
        <v>42964</v>
      </c>
      <c r="G311" s="6" t="n">
        <f aca="false">INDEX(Acts!$D:$D,MATCH(B311,Acts!$B:$B,0))</f>
        <v>31104</v>
      </c>
      <c r="H311" s="5" t="str">
        <f aca="false">IF(F311&gt;G311,"yes","no")</f>
        <v>yes</v>
      </c>
      <c r="I311" s="5" t="s">
        <v>230</v>
      </c>
      <c r="J311" s="5"/>
      <c r="K311" s="5" t="str">
        <f aca="false">IF(J311="","no","yes")</f>
        <v>no</v>
      </c>
      <c r="L311" s="5"/>
      <c r="M311" s="7" t="n">
        <f aca="false">IF(L311="",0,IF(L311="Gold",0.5,IF(L311="Platinum",1,IF(L311="Diamond",10,IF(ISNUMBER(FIND("×",L311)),VALUE(LEFT(L311,FIND("×",L311)-1)),0)))))</f>
        <v>0</v>
      </c>
      <c r="N311" s="5" t="s">
        <v>1336</v>
      </c>
      <c r="O311" s="5" t="s">
        <v>1348</v>
      </c>
    </row>
    <row r="312" customFormat="false" ht="15" hidden="false" customHeight="false" outlineLevel="0" collapsed="false">
      <c r="A312" s="5" t="s">
        <v>1358</v>
      </c>
      <c r="B312" s="5" t="s">
        <v>172</v>
      </c>
      <c r="C312" s="5" t="s">
        <v>1359</v>
      </c>
      <c r="D312" s="5" t="s">
        <v>1360</v>
      </c>
      <c r="E312" s="8" t="n">
        <f aca="false">VALUE(LEFT(D312,4))</f>
        <v>2022</v>
      </c>
      <c r="F312" s="6" t="n">
        <f aca="false">IF(LEN(D312)=10,DATE(VALUE(LEFT(D312,4)),VALUE(MID(D312,6,2)),VALUE(RIGHT(D312,2))),IF(LEN(D312)=7,DATE(VALUE(LEFT(D312,4)),VALUE(MID(D312,6,2)),15),DATE(VALUE(LEFT(D312,4)),7,1)))</f>
        <v>44743</v>
      </c>
      <c r="G312" s="6" t="n">
        <f aca="false">INDEX(Acts!$D:$D,MATCH(B312,Acts!$B:$B,0))</f>
        <v>31104</v>
      </c>
      <c r="H312" s="5" t="str">
        <f aca="false">IF(F312&gt;G312,"yes","no")</f>
        <v>yes</v>
      </c>
      <c r="I312" s="5" t="s">
        <v>230</v>
      </c>
      <c r="J312" s="5"/>
      <c r="K312" s="5" t="str">
        <f aca="false">IF(J312="","no","yes")</f>
        <v>no</v>
      </c>
      <c r="L312" s="5"/>
      <c r="M312" s="7" t="n">
        <f aca="false">IF(L312="",0,IF(L312="Gold",0.5,IF(L312="Platinum",1,IF(L312="Diamond",10,IF(ISNUMBER(FIND("×",L312)),VALUE(LEFT(L312,FIND("×",L312)-1)),0)))))</f>
        <v>0</v>
      </c>
      <c r="N312" s="5" t="s">
        <v>1336</v>
      </c>
      <c r="O312" s="5" t="s">
        <v>1348</v>
      </c>
    </row>
    <row r="313" customFormat="false" ht="15" hidden="false" customHeight="false" outlineLevel="0" collapsed="false">
      <c r="A313" s="5" t="s">
        <v>1361</v>
      </c>
      <c r="B313" s="5" t="s">
        <v>172</v>
      </c>
      <c r="C313" s="5" t="s">
        <v>1362</v>
      </c>
      <c r="D313" s="5" t="s">
        <v>1363</v>
      </c>
      <c r="E313" s="8" t="n">
        <f aca="false">VALUE(LEFT(D313,4))</f>
        <v>2024</v>
      </c>
      <c r="F313" s="6" t="n">
        <f aca="false">IF(LEN(D313)=10,DATE(VALUE(LEFT(D313,4)),VALUE(MID(D313,6,2)),VALUE(RIGHT(D313,2))),IF(LEN(D313)=7,DATE(VALUE(LEFT(D313,4)),VALUE(MID(D313,6,2)),15),DATE(VALUE(LEFT(D313,4)),7,1)))</f>
        <v>45387</v>
      </c>
      <c r="G313" s="6" t="n">
        <f aca="false">INDEX(Acts!$D:$D,MATCH(B313,Acts!$B:$B,0))</f>
        <v>31104</v>
      </c>
      <c r="H313" s="5" t="str">
        <f aca="false">IF(F313&gt;G313,"yes","no")</f>
        <v>yes</v>
      </c>
      <c r="I313" s="5" t="s">
        <v>230</v>
      </c>
      <c r="J313" s="5"/>
      <c r="K313" s="5" t="str">
        <f aca="false">IF(J313="","no","yes")</f>
        <v>no</v>
      </c>
      <c r="L313" s="5"/>
      <c r="M313" s="7" t="n">
        <f aca="false">IF(L313="",0,IF(L313="Gold",0.5,IF(L313="Platinum",1,IF(L313="Diamond",10,IF(ISNUMBER(FIND("×",L313)),VALUE(LEFT(L313,FIND("×",L313)-1)),0)))))</f>
        <v>0</v>
      </c>
      <c r="N313" s="5" t="s">
        <v>1336</v>
      </c>
      <c r="O313" s="5" t="s">
        <v>1348</v>
      </c>
    </row>
    <row r="314" customFormat="false" ht="15" hidden="false" customHeight="false" outlineLevel="0" collapsed="false">
      <c r="A314" s="5" t="s">
        <v>1364</v>
      </c>
      <c r="B314" s="5" t="s">
        <v>175</v>
      </c>
      <c r="C314" s="5" t="s">
        <v>1365</v>
      </c>
      <c r="D314" s="5" t="s">
        <v>1366</v>
      </c>
      <c r="E314" s="8" t="n">
        <f aca="false">VALUE(LEFT(D314,4))</f>
        <v>1985</v>
      </c>
      <c r="F314" s="6" t="n">
        <f aca="false">IF(LEN(D314)=10,DATE(VALUE(LEFT(D314,4)),VALUE(MID(D314,6,2)),VALUE(RIGHT(D314,2))),IF(LEN(D314)=7,DATE(VALUE(LEFT(D314,4)),VALUE(MID(D314,6,2)),15),DATE(VALUE(LEFT(D314,4)),7,1)))</f>
        <v>31331</v>
      </c>
      <c r="G314" s="6" t="n">
        <f aca="false">INDEX(Acts!$D:$D,MATCH(B314,Acts!$B:$B,0))</f>
        <v>31832</v>
      </c>
      <c r="H314" s="5" t="str">
        <f aca="false">IF(F314&gt;G314,"yes","no")</f>
        <v>no</v>
      </c>
      <c r="I314" s="5" t="s">
        <v>218</v>
      </c>
      <c r="J314" s="5" t="n">
        <v>16</v>
      </c>
      <c r="K314" s="5" t="str">
        <f aca="false">IF(J314="","no","yes")</f>
        <v>yes</v>
      </c>
      <c r="L314" s="5" t="s">
        <v>219</v>
      </c>
      <c r="M314" s="7" t="n">
        <f aca="false">IF(L314="",0,IF(L314="Gold",0.5,IF(L314="Platinum",1,IF(L314="Diamond",10,IF(ISNUMBER(FIND("×",L314)),VALUE(LEFT(L314,FIND("×",L314)-1)),0)))))</f>
        <v>1</v>
      </c>
      <c r="N314" s="5" t="s">
        <v>1367</v>
      </c>
      <c r="O314" s="5"/>
    </row>
    <row r="315" customFormat="false" ht="15" hidden="false" customHeight="false" outlineLevel="0" collapsed="false">
      <c r="A315" s="5" t="s">
        <v>1368</v>
      </c>
      <c r="B315" s="5" t="s">
        <v>175</v>
      </c>
      <c r="C315" s="5" t="s">
        <v>1369</v>
      </c>
      <c r="D315" s="5" t="s">
        <v>1370</v>
      </c>
      <c r="E315" s="8" t="n">
        <f aca="false">VALUE(LEFT(D315,4))</f>
        <v>1987</v>
      </c>
      <c r="F315" s="6" t="n">
        <f aca="false">IF(LEN(D315)=10,DATE(VALUE(LEFT(D315,4)),VALUE(MID(D315,6,2)),VALUE(RIGHT(D315,2))),IF(LEN(D315)=7,DATE(VALUE(LEFT(D315,4)),VALUE(MID(D315,6,2)),15),DATE(VALUE(LEFT(D315,4)),7,1)))</f>
        <v>31845</v>
      </c>
      <c r="G315" s="6" t="n">
        <f aca="false">INDEX(Acts!$D:$D,MATCH(B315,Acts!$B:$B,0))</f>
        <v>31832</v>
      </c>
      <c r="H315" s="5" t="str">
        <f aca="false">IF(F315&gt;G315,"yes","no")</f>
        <v>yes</v>
      </c>
      <c r="I315" s="5" t="s">
        <v>218</v>
      </c>
      <c r="J315" s="5" t="n">
        <v>31</v>
      </c>
      <c r="K315" s="5" t="str">
        <f aca="false">IF(J315="","no","yes")</f>
        <v>yes</v>
      </c>
      <c r="L315" s="5"/>
      <c r="M315" s="7" t="n">
        <f aca="false">IF(L315="",0,IF(L315="Gold",0.5,IF(L315="Platinum",1,IF(L315="Diamond",10,IF(ISNUMBER(FIND("×",L315)),VALUE(LEFT(L315,FIND("×",L315)-1)),0)))))</f>
        <v>0</v>
      </c>
      <c r="N315" s="5" t="s">
        <v>1367</v>
      </c>
      <c r="O315" s="5"/>
    </row>
    <row r="316" customFormat="false" ht="15" hidden="false" customHeight="false" outlineLevel="0" collapsed="false">
      <c r="A316" s="5" t="s">
        <v>1371</v>
      </c>
      <c r="B316" s="5" t="s">
        <v>175</v>
      </c>
      <c r="C316" s="5" t="s">
        <v>1372</v>
      </c>
      <c r="D316" s="5" t="s">
        <v>1373</v>
      </c>
      <c r="E316" s="8" t="n">
        <f aca="false">VALUE(LEFT(D316,4))</f>
        <v>1989</v>
      </c>
      <c r="F316" s="6" t="n">
        <f aca="false">IF(LEN(D316)=10,DATE(VALUE(LEFT(D316,4)),VALUE(MID(D316,6,2)),VALUE(RIGHT(D316,2))),IF(LEN(D316)=7,DATE(VALUE(LEFT(D316,4)),VALUE(MID(D316,6,2)),15),DATE(VALUE(LEFT(D316,4)),7,1)))</f>
        <v>32552</v>
      </c>
      <c r="G316" s="6" t="n">
        <f aca="false">INDEX(Acts!$D:$D,MATCH(B316,Acts!$B:$B,0))</f>
        <v>31832</v>
      </c>
      <c r="H316" s="5" t="str">
        <f aca="false">IF(F316&gt;G316,"yes","no")</f>
        <v>yes</v>
      </c>
      <c r="I316" s="5" t="s">
        <v>218</v>
      </c>
      <c r="J316" s="5" t="n">
        <v>22</v>
      </c>
      <c r="K316" s="5" t="str">
        <f aca="false">IF(J316="","no","yes")</f>
        <v>yes</v>
      </c>
      <c r="L316" s="5" t="s">
        <v>271</v>
      </c>
      <c r="M316" s="7" t="n">
        <f aca="false">IF(L316="",0,IF(L316="Gold",0.5,IF(L316="Platinum",1,IF(L316="Diamond",10,IF(ISNUMBER(FIND("×",L316)),VALUE(LEFT(L316,FIND("×",L316)-1)),0)))))</f>
        <v>0.5</v>
      </c>
      <c r="N316" s="5" t="s">
        <v>1367</v>
      </c>
      <c r="O316" s="5"/>
    </row>
    <row r="317" customFormat="false" ht="15" hidden="false" customHeight="false" outlineLevel="0" collapsed="false">
      <c r="A317" s="5" t="s">
        <v>1374</v>
      </c>
      <c r="B317" s="5" t="s">
        <v>175</v>
      </c>
      <c r="C317" s="5" t="s">
        <v>1375</v>
      </c>
      <c r="D317" s="5" t="s">
        <v>1376</v>
      </c>
      <c r="E317" s="8" t="n">
        <f aca="false">VALUE(LEFT(D317,4))</f>
        <v>1991</v>
      </c>
      <c r="F317" s="6" t="n">
        <f aca="false">IF(LEN(D317)=10,DATE(VALUE(LEFT(D317,4)),VALUE(MID(D317,6,2)),VALUE(RIGHT(D317,2))),IF(LEN(D317)=7,DATE(VALUE(LEFT(D317,4)),VALUE(MID(D317,6,2)),15),DATE(VALUE(LEFT(D317,4)),7,1)))</f>
        <v>33511</v>
      </c>
      <c r="G317" s="6" t="n">
        <f aca="false">INDEX(Acts!$D:$D,MATCH(B317,Acts!$B:$B,0))</f>
        <v>31832</v>
      </c>
      <c r="H317" s="5" t="str">
        <f aca="false">IF(F317&gt;G317,"yes","no")</f>
        <v>yes</v>
      </c>
      <c r="I317" s="5" t="s">
        <v>218</v>
      </c>
      <c r="J317" s="5" t="n">
        <v>76</v>
      </c>
      <c r="K317" s="5" t="str">
        <f aca="false">IF(J317="","no","yes")</f>
        <v>yes</v>
      </c>
      <c r="L317" s="5" t="s">
        <v>271</v>
      </c>
      <c r="M317" s="7" t="n">
        <f aca="false">IF(L317="",0,IF(L317="Gold",0.5,IF(L317="Platinum",1,IF(L317="Diamond",10,IF(ISNUMBER(FIND("×",L317)),VALUE(LEFT(L317,FIND("×",L317)-1)),0)))))</f>
        <v>0.5</v>
      </c>
      <c r="N317" s="5" t="s">
        <v>1367</v>
      </c>
      <c r="O317" s="5"/>
    </row>
    <row r="318" customFormat="false" ht="15" hidden="false" customHeight="false" outlineLevel="0" collapsed="false">
      <c r="A318" s="5" t="s">
        <v>1377</v>
      </c>
      <c r="B318" s="5" t="s">
        <v>175</v>
      </c>
      <c r="C318" s="5" t="s">
        <v>481</v>
      </c>
      <c r="D318" s="5" t="s">
        <v>1378</v>
      </c>
      <c r="E318" s="8" t="n">
        <f aca="false">VALUE(LEFT(D318,4))</f>
        <v>1995</v>
      </c>
      <c r="F318" s="6" t="n">
        <f aca="false">IF(LEN(D318)=10,DATE(VALUE(LEFT(D318,4)),VALUE(MID(D318,6,2)),VALUE(RIGHT(D318,2))),IF(LEN(D318)=7,DATE(VALUE(LEFT(D318,4)),VALUE(MID(D318,6,2)),15),DATE(VALUE(LEFT(D318,4)),7,1)))</f>
        <v>34981</v>
      </c>
      <c r="G318" s="6" t="n">
        <f aca="false">INDEX(Acts!$D:$D,MATCH(B318,Acts!$B:$B,0))</f>
        <v>31832</v>
      </c>
      <c r="H318" s="5" t="str">
        <f aca="false">IF(F318&gt;G318,"yes","no")</f>
        <v>yes</v>
      </c>
      <c r="I318" s="5" t="s">
        <v>218</v>
      </c>
      <c r="J318" s="5" t="n">
        <v>75</v>
      </c>
      <c r="K318" s="5" t="str">
        <f aca="false">IF(J318="","no","yes")</f>
        <v>yes</v>
      </c>
      <c r="L318" s="5"/>
      <c r="M318" s="7" t="n">
        <f aca="false">IF(L318="",0,IF(L318="Gold",0.5,IF(L318="Platinum",1,IF(L318="Diamond",10,IF(ISNUMBER(FIND("×",L318)),VALUE(LEFT(L318,FIND("×",L318)-1)),0)))))</f>
        <v>0</v>
      </c>
      <c r="N318" s="5" t="s">
        <v>1367</v>
      </c>
      <c r="O318" s="5"/>
    </row>
    <row r="319" customFormat="false" ht="15" hidden="false" customHeight="false" outlineLevel="0" collapsed="false">
      <c r="A319" s="5" t="s">
        <v>1379</v>
      </c>
      <c r="B319" s="5" t="s">
        <v>175</v>
      </c>
      <c r="C319" s="5" t="s">
        <v>1380</v>
      </c>
      <c r="D319" s="5" t="s">
        <v>1381</v>
      </c>
      <c r="E319" s="8" t="n">
        <f aca="false">VALUE(LEFT(D319,4))</f>
        <v>1998</v>
      </c>
      <c r="F319" s="6" t="n">
        <f aca="false">IF(LEN(D319)=10,DATE(VALUE(LEFT(D319,4)),VALUE(MID(D319,6,2)),VALUE(RIGHT(D319,2))),IF(LEN(D319)=7,DATE(VALUE(LEFT(D319,4)),VALUE(MID(D319,6,2)),15),DATE(VALUE(LEFT(D319,4)),7,1)))</f>
        <v>35934</v>
      </c>
      <c r="G319" s="6" t="n">
        <f aca="false">INDEX(Acts!$D:$D,MATCH(B319,Acts!$B:$B,0))</f>
        <v>31832</v>
      </c>
      <c r="H319" s="5" t="str">
        <f aca="false">IF(F319&gt;G319,"yes","no")</f>
        <v>yes</v>
      </c>
      <c r="I319" s="5" t="s">
        <v>218</v>
      </c>
      <c r="J319" s="5" t="n">
        <v>145</v>
      </c>
      <c r="K319" s="5" t="str">
        <f aca="false">IF(J319="","no","yes")</f>
        <v>yes</v>
      </c>
      <c r="L319" s="5"/>
      <c r="M319" s="7" t="n">
        <f aca="false">IF(L319="",0,IF(L319="Gold",0.5,IF(L319="Platinum",1,IF(L319="Diamond",10,IF(ISNUMBER(FIND("×",L319)),VALUE(LEFT(L319,FIND("×",L319)-1)),0)))))</f>
        <v>0</v>
      </c>
      <c r="N319" s="5" t="s">
        <v>1367</v>
      </c>
      <c r="O319" s="5"/>
    </row>
    <row r="320" customFormat="false" ht="15" hidden="false" customHeight="false" outlineLevel="0" collapsed="false">
      <c r="A320" s="5" t="s">
        <v>1382</v>
      </c>
      <c r="B320" s="5" t="s">
        <v>175</v>
      </c>
      <c r="C320" s="5" t="s">
        <v>1383</v>
      </c>
      <c r="D320" s="5" t="s">
        <v>1384</v>
      </c>
      <c r="E320" s="8" t="n">
        <f aca="false">VALUE(LEFT(D320,4))</f>
        <v>1999</v>
      </c>
      <c r="F320" s="6" t="n">
        <f aca="false">IF(LEN(D320)=10,DATE(VALUE(LEFT(D320,4)),VALUE(MID(D320,6,2)),VALUE(RIGHT(D320,2))),IF(LEN(D320)=7,DATE(VALUE(LEFT(D320,4)),VALUE(MID(D320,6,2)),15),DATE(VALUE(LEFT(D320,4)),7,1)))</f>
        <v>36465</v>
      </c>
      <c r="G320" s="6" t="n">
        <f aca="false">INDEX(Acts!$D:$D,MATCH(B320,Acts!$B:$B,0))</f>
        <v>31832</v>
      </c>
      <c r="H320" s="5" t="str">
        <f aca="false">IF(F320&gt;G320,"yes","no")</f>
        <v>yes</v>
      </c>
      <c r="I320" s="5" t="s">
        <v>230</v>
      </c>
      <c r="J320" s="5"/>
      <c r="K320" s="5" t="str">
        <f aca="false">IF(J320="","no","yes")</f>
        <v>no</v>
      </c>
      <c r="L320" s="5"/>
      <c r="M320" s="7" t="n">
        <f aca="false">IF(L320="",0,IF(L320="Gold",0.5,IF(L320="Platinum",1,IF(L320="Diamond",10,IF(ISNUMBER(FIND("×",L320)),VALUE(LEFT(L320,FIND("×",L320)-1)),0)))))</f>
        <v>0</v>
      </c>
      <c r="N320" s="5" t="s">
        <v>1367</v>
      </c>
      <c r="O320" s="5" t="s">
        <v>846</v>
      </c>
    </row>
    <row r="321" customFormat="false" ht="15" hidden="false" customHeight="false" outlineLevel="0" collapsed="false">
      <c r="A321" s="5" t="s">
        <v>1385</v>
      </c>
      <c r="B321" s="5" t="s">
        <v>175</v>
      </c>
      <c r="C321" s="5" t="s">
        <v>1325</v>
      </c>
      <c r="D321" s="5" t="s">
        <v>1386</v>
      </c>
      <c r="E321" s="8" t="n">
        <f aca="false">VALUE(LEFT(D321,4))</f>
        <v>2003</v>
      </c>
      <c r="F321" s="6" t="n">
        <f aca="false">IF(LEN(D321)=10,DATE(VALUE(LEFT(D321,4)),VALUE(MID(D321,6,2)),VALUE(RIGHT(D321,2))),IF(LEN(D321)=7,DATE(VALUE(LEFT(D321,4)),VALUE(MID(D321,6,2)),15),DATE(VALUE(LEFT(D321,4)),7,1)))</f>
        <v>37704</v>
      </c>
      <c r="G321" s="6" t="n">
        <f aca="false">INDEX(Acts!$D:$D,MATCH(B321,Acts!$B:$B,0))</f>
        <v>31832</v>
      </c>
      <c r="H321" s="5" t="str">
        <f aca="false">IF(F321&gt;G321,"yes","no")</f>
        <v>yes</v>
      </c>
      <c r="I321" s="5" t="s">
        <v>218</v>
      </c>
      <c r="J321" s="5" t="n">
        <v>187</v>
      </c>
      <c r="K321" s="5" t="str">
        <f aca="false">IF(J321="","no","yes")</f>
        <v>yes</v>
      </c>
      <c r="L321" s="5"/>
      <c r="M321" s="7" t="n">
        <f aca="false">IF(L321="",0,IF(L321="Gold",0.5,IF(L321="Platinum",1,IF(L321="Diamond",10,IF(ISNUMBER(FIND("×",L321)),VALUE(LEFT(L321,FIND("×",L321)-1)),0)))))</f>
        <v>0</v>
      </c>
      <c r="N321" s="5" t="s">
        <v>1367</v>
      </c>
      <c r="O321" s="5"/>
    </row>
    <row r="322" customFormat="false" ht="15" hidden="false" customHeight="false" outlineLevel="0" collapsed="false">
      <c r="A322" s="5" t="s">
        <v>1387</v>
      </c>
      <c r="B322" s="5" t="s">
        <v>175</v>
      </c>
      <c r="C322" s="5" t="s">
        <v>1388</v>
      </c>
      <c r="D322" s="5" t="s">
        <v>1389</v>
      </c>
      <c r="E322" s="8" t="n">
        <f aca="false">VALUE(LEFT(D322,4))</f>
        <v>2007</v>
      </c>
      <c r="F322" s="6" t="n">
        <f aca="false">IF(LEN(D322)=10,DATE(VALUE(LEFT(D322,4)),VALUE(MID(D322,6,2)),VALUE(RIGHT(D322,2))),IF(LEN(D322)=7,DATE(VALUE(LEFT(D322,4)),VALUE(MID(D322,6,2)),15),DATE(VALUE(LEFT(D322,4)),7,1)))</f>
        <v>39153</v>
      </c>
      <c r="G322" s="6" t="n">
        <f aca="false">INDEX(Acts!$D:$D,MATCH(B322,Acts!$B:$B,0))</f>
        <v>31832</v>
      </c>
      <c r="H322" s="5" t="str">
        <f aca="false">IF(F322&gt;G322,"yes","no")</f>
        <v>yes</v>
      </c>
      <c r="I322" s="5" t="s">
        <v>218</v>
      </c>
      <c r="J322" s="5" t="n">
        <v>156</v>
      </c>
      <c r="K322" s="5" t="str">
        <f aca="false">IF(J322="","no","yes")</f>
        <v>yes</v>
      </c>
      <c r="L322" s="5"/>
      <c r="M322" s="7" t="n">
        <f aca="false">IF(L322="",0,IF(L322="Gold",0.5,IF(L322="Platinum",1,IF(L322="Diamond",10,IF(ISNUMBER(FIND("×",L322)),VALUE(LEFT(L322,FIND("×",L322)-1)),0)))))</f>
        <v>0</v>
      </c>
      <c r="N322" s="5" t="s">
        <v>1367</v>
      </c>
      <c r="O322" s="5"/>
    </row>
    <row r="323" customFormat="false" ht="15" hidden="false" customHeight="false" outlineLevel="0" collapsed="false">
      <c r="A323" s="5" t="s">
        <v>1390</v>
      </c>
      <c r="B323" s="5" t="s">
        <v>175</v>
      </c>
      <c r="C323" s="5" t="s">
        <v>1391</v>
      </c>
      <c r="D323" s="5" t="s">
        <v>1392</v>
      </c>
      <c r="E323" s="8" t="n">
        <f aca="false">VALUE(LEFT(D323,4))</f>
        <v>2015</v>
      </c>
      <c r="F323" s="6" t="n">
        <f aca="false">IF(LEN(D323)=10,DATE(VALUE(LEFT(D323,4)),VALUE(MID(D323,6,2)),VALUE(RIGHT(D323,2))),IF(LEN(D323)=7,DATE(VALUE(LEFT(D323,4)),VALUE(MID(D323,6,2)),15),DATE(VALUE(LEFT(D323,4)),7,1)))</f>
        <v>42153</v>
      </c>
      <c r="G323" s="6" t="n">
        <f aca="false">INDEX(Acts!$D:$D,MATCH(B323,Acts!$B:$B,0))</f>
        <v>31832</v>
      </c>
      <c r="H323" s="5" t="str">
        <f aca="false">IF(F323&gt;G323,"yes","no")</f>
        <v>yes</v>
      </c>
      <c r="I323" s="5" t="s">
        <v>230</v>
      </c>
      <c r="J323" s="5"/>
      <c r="K323" s="5" t="str">
        <f aca="false">IF(J323="","no","yes")</f>
        <v>no</v>
      </c>
      <c r="L323" s="5"/>
      <c r="M323" s="7" t="n">
        <f aca="false">IF(L323="",0,IF(L323="Gold",0.5,IF(L323="Platinum",1,IF(L323="Diamond",10,IF(ISNUMBER(FIND("×",L323)),VALUE(LEFT(L323,FIND("×",L323)-1)),0)))))</f>
        <v>0</v>
      </c>
      <c r="N323" s="5" t="s">
        <v>1367</v>
      </c>
      <c r="O323" s="5" t="s">
        <v>846</v>
      </c>
    </row>
    <row r="324" customFormat="false" ht="15" hidden="false" customHeight="false" outlineLevel="0" collapsed="false">
      <c r="A324" s="5" t="s">
        <v>1393</v>
      </c>
      <c r="B324" s="5" t="s">
        <v>175</v>
      </c>
      <c r="C324" s="5" t="s">
        <v>1394</v>
      </c>
      <c r="D324" s="5" t="s">
        <v>1395</v>
      </c>
      <c r="E324" s="8" t="n">
        <f aca="false">VALUE(LEFT(D324,4))</f>
        <v>2019</v>
      </c>
      <c r="F324" s="6" t="n">
        <f aca="false">IF(LEN(D324)=10,DATE(VALUE(LEFT(D324,4)),VALUE(MID(D324,6,2)),VALUE(RIGHT(D324,2))),IF(LEN(D324)=7,DATE(VALUE(LEFT(D324,4)),VALUE(MID(D324,6,2)),15),DATE(VALUE(LEFT(D324,4)),7,1)))</f>
        <v>43777</v>
      </c>
      <c r="G324" s="6" t="n">
        <f aca="false">INDEX(Acts!$D:$D,MATCH(B324,Acts!$B:$B,0))</f>
        <v>31832</v>
      </c>
      <c r="H324" s="5" t="str">
        <f aca="false">IF(F324&gt;G324,"yes","no")</f>
        <v>yes</v>
      </c>
      <c r="I324" s="5" t="s">
        <v>230</v>
      </c>
      <c r="J324" s="5"/>
      <c r="K324" s="5" t="str">
        <f aca="false">IF(J324="","no","yes")</f>
        <v>no</v>
      </c>
      <c r="L324" s="5"/>
      <c r="M324" s="7" t="n">
        <f aca="false">IF(L324="",0,IF(L324="Gold",0.5,IF(L324="Platinum",1,IF(L324="Diamond",10,IF(ISNUMBER(FIND("×",L324)),VALUE(LEFT(L324,FIND("×",L324)-1)),0)))))</f>
        <v>0</v>
      </c>
      <c r="N324" s="5" t="s">
        <v>1367</v>
      </c>
      <c r="O324" s="5" t="s">
        <v>846</v>
      </c>
    </row>
    <row r="325" customFormat="false" ht="15" hidden="false" customHeight="false" outlineLevel="0" collapsed="false">
      <c r="A325" s="5" t="s">
        <v>1396</v>
      </c>
      <c r="B325" s="5" t="s">
        <v>175</v>
      </c>
      <c r="C325" s="5" t="s">
        <v>1397</v>
      </c>
      <c r="D325" s="5" t="s">
        <v>1398</v>
      </c>
      <c r="E325" s="8" t="n">
        <f aca="false">VALUE(LEFT(D325,4))</f>
        <v>2023</v>
      </c>
      <c r="F325" s="6" t="n">
        <f aca="false">IF(LEN(D325)=10,DATE(VALUE(LEFT(D325,4)),VALUE(MID(D325,6,2)),VALUE(RIGHT(D325,2))),IF(LEN(D325)=7,DATE(VALUE(LEFT(D325,4)),VALUE(MID(D325,6,2)),15),DATE(VALUE(LEFT(D325,4)),7,1)))</f>
        <v>45072</v>
      </c>
      <c r="G325" s="6" t="n">
        <f aca="false">INDEX(Acts!$D:$D,MATCH(B325,Acts!$B:$B,0))</f>
        <v>31832</v>
      </c>
      <c r="H325" s="5" t="str">
        <f aca="false">IF(F325&gt;G325,"yes","no")</f>
        <v>yes</v>
      </c>
      <c r="I325" s="5" t="s">
        <v>230</v>
      </c>
      <c r="J325" s="5"/>
      <c r="K325" s="5" t="str">
        <f aca="false">IF(J325="","no","yes")</f>
        <v>no</v>
      </c>
      <c r="L325" s="5"/>
      <c r="M325" s="7" t="n">
        <f aca="false">IF(L325="",0,IF(L325="Gold",0.5,IF(L325="Platinum",1,IF(L325="Diamond",10,IF(ISNUMBER(FIND("×",L325)),VALUE(LEFT(L325,FIND("×",L325)-1)),0)))))</f>
        <v>0</v>
      </c>
      <c r="N325" s="5" t="s">
        <v>1367</v>
      </c>
      <c r="O325" s="5" t="s">
        <v>846</v>
      </c>
    </row>
    <row r="326" customFormat="false" ht="15" hidden="false" customHeight="false" outlineLevel="0" collapsed="false">
      <c r="A326" s="5" t="s">
        <v>1399</v>
      </c>
      <c r="B326" s="5" t="s">
        <v>178</v>
      </c>
      <c r="C326" s="5" t="s">
        <v>1400</v>
      </c>
      <c r="D326" s="5" t="s">
        <v>1401</v>
      </c>
      <c r="E326" s="8" t="n">
        <f aca="false">VALUE(LEFT(D326,4))</f>
        <v>1989</v>
      </c>
      <c r="F326" s="6" t="n">
        <f aca="false">IF(LEN(D326)=10,DATE(VALUE(LEFT(D326,4)),VALUE(MID(D326,6,2)),VALUE(RIGHT(D326,2))),IF(LEN(D326)=7,DATE(VALUE(LEFT(D326,4)),VALUE(MID(D326,6,2)),15),DATE(VALUE(LEFT(D326,4)),7,1)))</f>
        <v>32608</v>
      </c>
      <c r="G326" s="6" t="n">
        <f aca="false">INDEX(Acts!$D:$D,MATCH(B326,Acts!$B:$B,0))</f>
        <v>32925</v>
      </c>
      <c r="H326" s="5" t="str">
        <f aca="false">IF(F326&gt;G326,"yes","no")</f>
        <v>no</v>
      </c>
      <c r="I326" s="5" t="s">
        <v>218</v>
      </c>
      <c r="J326" s="5" t="n">
        <v>14</v>
      </c>
      <c r="K326" s="5" t="str">
        <f aca="false">IF(J326="","no","yes")</f>
        <v>yes</v>
      </c>
      <c r="L326" s="5" t="s">
        <v>510</v>
      </c>
      <c r="M326" s="7" t="n">
        <f aca="false">IF(L326="",0,IF(L326="Gold",0.5,IF(L326="Platinum",1,IF(L326="Diamond",10,IF(ISNUMBER(FIND("×",L326)),VALUE(LEFT(L326,FIND("×",L326)-1)),0)))))</f>
        <v>2</v>
      </c>
      <c r="N326" s="5" t="s">
        <v>1402</v>
      </c>
      <c r="O326" s="5" t="s">
        <v>1403</v>
      </c>
    </row>
    <row r="327" customFormat="false" ht="15" hidden="false" customHeight="false" outlineLevel="0" collapsed="false">
      <c r="A327" s="5" t="s">
        <v>1404</v>
      </c>
      <c r="B327" s="5" t="s">
        <v>178</v>
      </c>
      <c r="C327" s="5" t="s">
        <v>1405</v>
      </c>
      <c r="D327" s="5" t="s">
        <v>1406</v>
      </c>
      <c r="E327" s="8" t="n">
        <f aca="false">VALUE(LEFT(D327,4))</f>
        <v>1990</v>
      </c>
      <c r="F327" s="6" t="n">
        <f aca="false">IF(LEN(D327)=10,DATE(VALUE(LEFT(D327,4)),VALUE(MID(D327,6,2)),VALUE(RIGHT(D327,2))),IF(LEN(D327)=7,DATE(VALUE(LEFT(D327,4)),VALUE(MID(D327,6,2)),15),DATE(VALUE(LEFT(D327,4)),7,1)))</f>
        <v>33014</v>
      </c>
      <c r="G327" s="6" t="n">
        <f aca="false">INDEX(Acts!$D:$D,MATCH(B327,Acts!$B:$B,0))</f>
        <v>32925</v>
      </c>
      <c r="H327" s="5" t="str">
        <f aca="false">IF(F327&gt;G327,"yes","no")</f>
        <v>yes</v>
      </c>
      <c r="I327" s="5" t="s">
        <v>218</v>
      </c>
      <c r="J327" s="5" t="n">
        <v>21</v>
      </c>
      <c r="K327" s="5" t="str">
        <f aca="false">IF(J327="","no","yes")</f>
        <v>yes</v>
      </c>
      <c r="L327" s="5" t="s">
        <v>271</v>
      </c>
      <c r="M327" s="7" t="n">
        <f aca="false">IF(L327="",0,IF(L327="Gold",0.5,IF(L327="Platinum",1,IF(L327="Diamond",10,IF(ISNUMBER(FIND("×",L327)),VALUE(LEFT(L327,FIND("×",L327)-1)),0)))))</f>
        <v>0.5</v>
      </c>
      <c r="N327" s="5" t="s">
        <v>1402</v>
      </c>
      <c r="O327" s="5"/>
    </row>
    <row r="328" customFormat="false" ht="15" hidden="false" customHeight="false" outlineLevel="0" collapsed="false">
      <c r="A328" s="5" t="s">
        <v>1407</v>
      </c>
      <c r="B328" s="5" t="s">
        <v>178</v>
      </c>
      <c r="C328" s="5" t="s">
        <v>1408</v>
      </c>
      <c r="D328" s="5" t="s">
        <v>1409</v>
      </c>
      <c r="E328" s="8" t="n">
        <f aca="false">VALUE(LEFT(D328,4))</f>
        <v>1992</v>
      </c>
      <c r="F328" s="6" t="n">
        <f aca="false">IF(LEN(D328)=10,DATE(VALUE(LEFT(D328,4)),VALUE(MID(D328,6,2)),VALUE(RIGHT(D328,2))),IF(LEN(D328)=7,DATE(VALUE(LEFT(D328,4)),VALUE(MID(D328,6,2)),15),DATE(VALUE(LEFT(D328,4)),7,1)))</f>
        <v>33707</v>
      </c>
      <c r="G328" s="6" t="n">
        <f aca="false">INDEX(Acts!$D:$D,MATCH(B328,Acts!$B:$B,0))</f>
        <v>32925</v>
      </c>
      <c r="H328" s="5" t="str">
        <f aca="false">IF(F328&gt;G328,"yes","no")</f>
        <v>yes</v>
      </c>
      <c r="I328" s="5" t="s">
        <v>218</v>
      </c>
      <c r="J328" s="5" t="n">
        <v>88</v>
      </c>
      <c r="K328" s="5" t="str">
        <f aca="false">IF(J328="","no","yes")</f>
        <v>yes</v>
      </c>
      <c r="L328" s="5"/>
      <c r="M328" s="7" t="n">
        <f aca="false">IF(L328="",0,IF(L328="Gold",0.5,IF(L328="Platinum",1,IF(L328="Diamond",10,IF(ISNUMBER(FIND("×",L328)),VALUE(LEFT(L328,FIND("×",L328)-1)),0)))))</f>
        <v>0</v>
      </c>
      <c r="N328" s="5" t="s">
        <v>1402</v>
      </c>
      <c r="O328" s="5"/>
    </row>
    <row r="329" customFormat="false" ht="15" hidden="false" customHeight="false" outlineLevel="0" collapsed="false">
      <c r="A329" s="5" t="s">
        <v>1410</v>
      </c>
      <c r="B329" s="5" t="s">
        <v>178</v>
      </c>
      <c r="C329" s="5" t="s">
        <v>1411</v>
      </c>
      <c r="D329" s="5" t="s">
        <v>1412</v>
      </c>
      <c r="E329" s="8" t="n">
        <f aca="false">VALUE(LEFT(D329,4))</f>
        <v>1995</v>
      </c>
      <c r="F329" s="6" t="n">
        <f aca="false">IF(LEN(D329)=10,DATE(VALUE(LEFT(D329,4)),VALUE(MID(D329,6,2)),VALUE(RIGHT(D329,2))),IF(LEN(D329)=7,DATE(VALUE(LEFT(D329,4)),VALUE(MID(D329,6,2)),15),DATE(VALUE(LEFT(D329,4)),7,1)))</f>
        <v>34911</v>
      </c>
      <c r="G329" s="6" t="n">
        <f aca="false">INDEX(Acts!$D:$D,MATCH(B329,Acts!$B:$B,0))</f>
        <v>32925</v>
      </c>
      <c r="H329" s="5" t="str">
        <f aca="false">IF(F329&gt;G329,"yes","no")</f>
        <v>yes</v>
      </c>
      <c r="I329" s="5" t="s">
        <v>218</v>
      </c>
      <c r="J329" s="5"/>
      <c r="K329" s="5" t="str">
        <f aca="false">IF(J329="","no","yes")</f>
        <v>no</v>
      </c>
      <c r="L329" s="5"/>
      <c r="M329" s="7" t="n">
        <f aca="false">IF(L329="",0,IF(L329="Gold",0.5,IF(L329="Platinum",1,IF(L329="Diamond",10,IF(ISNUMBER(FIND("×",L329)),VALUE(LEFT(L329,FIND("×",L329)-1)),0)))))</f>
        <v>0</v>
      </c>
      <c r="N329" s="5" t="s">
        <v>1402</v>
      </c>
      <c r="O329" s="5" t="s">
        <v>1413</v>
      </c>
    </row>
    <row r="330" customFormat="false" ht="15" hidden="false" customHeight="false" outlineLevel="0" collapsed="false">
      <c r="A330" s="5" t="s">
        <v>1414</v>
      </c>
      <c r="B330" s="5" t="s">
        <v>178</v>
      </c>
      <c r="C330" s="5" t="s">
        <v>1415</v>
      </c>
      <c r="D330" s="5" t="s">
        <v>1416</v>
      </c>
      <c r="E330" s="8" t="n">
        <f aca="false">VALUE(LEFT(D330,4))</f>
        <v>1997</v>
      </c>
      <c r="F330" s="6" t="n">
        <f aca="false">IF(LEN(D330)=10,DATE(VALUE(LEFT(D330,4)),VALUE(MID(D330,6,2)),VALUE(RIGHT(D330,2))),IF(LEN(D330)=7,DATE(VALUE(LEFT(D330,4)),VALUE(MID(D330,6,2)),15),DATE(VALUE(LEFT(D330,4)),7,1)))</f>
        <v>35674</v>
      </c>
      <c r="G330" s="6" t="n">
        <f aca="false">INDEX(Acts!$D:$D,MATCH(B330,Acts!$B:$B,0))</f>
        <v>32925</v>
      </c>
      <c r="H330" s="5" t="str">
        <f aca="false">IF(F330&gt;G330,"yes","no")</f>
        <v>yes</v>
      </c>
      <c r="I330" s="5" t="s">
        <v>230</v>
      </c>
      <c r="J330" s="5"/>
      <c r="K330" s="5" t="str">
        <f aca="false">IF(J330="","no","yes")</f>
        <v>no</v>
      </c>
      <c r="L330" s="5"/>
      <c r="M330" s="7" t="n">
        <f aca="false">IF(L330="",0,IF(L330="Gold",0.5,IF(L330="Platinum",1,IF(L330="Diamond",10,IF(ISNUMBER(FIND("×",L330)),VALUE(LEFT(L330,FIND("×",L330)-1)),0)))))</f>
        <v>0</v>
      </c>
      <c r="N330" s="5" t="s">
        <v>1402</v>
      </c>
      <c r="O330" s="5" t="s">
        <v>1417</v>
      </c>
    </row>
    <row r="331" customFormat="false" ht="15" hidden="false" customHeight="false" outlineLevel="0" collapsed="false">
      <c r="A331" s="5" t="s">
        <v>1418</v>
      </c>
      <c r="B331" s="5" t="s">
        <v>181</v>
      </c>
      <c r="C331" s="5" t="s">
        <v>181</v>
      </c>
      <c r="D331" s="5" t="s">
        <v>1419</v>
      </c>
      <c r="E331" s="8" t="n">
        <f aca="false">VALUE(LEFT(D331,4))</f>
        <v>1981</v>
      </c>
      <c r="F331" s="6" t="n">
        <f aca="false">IF(LEN(D331)=10,DATE(VALUE(LEFT(D331,4)),VALUE(MID(D331,6,2)),VALUE(RIGHT(D331,2))),IF(LEN(D331)=7,DATE(VALUE(LEFT(D331,4)),VALUE(MID(D331,6,2)),15),DATE(VALUE(LEFT(D331,4)),7,1)))</f>
        <v>29632</v>
      </c>
      <c r="G331" s="6" t="n">
        <f aca="false">INDEX(Acts!$D:$D,MATCH(B331,Acts!$B:$B,0))</f>
        <v>30370</v>
      </c>
      <c r="H331" s="5" t="str">
        <f aca="false">IF(F331&gt;G331,"yes","no")</f>
        <v>no</v>
      </c>
      <c r="I331" s="5" t="s">
        <v>218</v>
      </c>
      <c r="J331" s="5"/>
      <c r="K331" s="5" t="str">
        <f aca="false">IF(J331="","no","yes")</f>
        <v>no</v>
      </c>
      <c r="L331" s="5"/>
      <c r="M331" s="7" t="n">
        <f aca="false">IF(L331="",0,IF(L331="Gold",0.5,IF(L331="Platinum",1,IF(L331="Diamond",10,IF(ISNUMBER(FIND("×",L331)),VALUE(LEFT(L331,FIND("×",L331)-1)),0)))))</f>
        <v>0</v>
      </c>
      <c r="N331" s="5" t="s">
        <v>1420</v>
      </c>
      <c r="O331" s="5" t="s">
        <v>1421</v>
      </c>
    </row>
    <row r="332" customFormat="false" ht="15" hidden="false" customHeight="false" outlineLevel="0" collapsed="false">
      <c r="A332" s="5" t="s">
        <v>1422</v>
      </c>
      <c r="B332" s="5" t="s">
        <v>181</v>
      </c>
      <c r="C332" s="5" t="s">
        <v>1423</v>
      </c>
      <c r="D332" s="5" t="s">
        <v>1424</v>
      </c>
      <c r="E332" s="8" t="n">
        <f aca="false">VALUE(LEFT(D332,4))</f>
        <v>1981</v>
      </c>
      <c r="F332" s="6" t="n">
        <f aca="false">IF(LEN(D332)=10,DATE(VALUE(LEFT(D332,4)),VALUE(MID(D332,6,2)),VALUE(RIGHT(D332,2))),IF(LEN(D332)=7,DATE(VALUE(LEFT(D332,4)),VALUE(MID(D332,6,2)),15),DATE(VALUE(LEFT(D332,4)),7,1)))</f>
        <v>29905</v>
      </c>
      <c r="G332" s="6" t="n">
        <f aca="false">INDEX(Acts!$D:$D,MATCH(B332,Acts!$B:$B,0))</f>
        <v>30370</v>
      </c>
      <c r="H332" s="5" t="str">
        <f aca="false">IF(F332&gt;G332,"yes","no")</f>
        <v>no</v>
      </c>
      <c r="I332" s="5" t="s">
        <v>230</v>
      </c>
      <c r="J332" s="5"/>
      <c r="K332" s="5" t="str">
        <f aca="false">IF(J332="","no","yes")</f>
        <v>no</v>
      </c>
      <c r="L332" s="5"/>
      <c r="M332" s="7" t="n">
        <f aca="false">IF(L332="",0,IF(L332="Gold",0.5,IF(L332="Platinum",1,IF(L332="Diamond",10,IF(ISNUMBER(FIND("×",L332)),VALUE(LEFT(L332,FIND("×",L332)-1)),0)))))</f>
        <v>0</v>
      </c>
      <c r="N332" s="5" t="s">
        <v>1420</v>
      </c>
      <c r="O332" s="5" t="s">
        <v>1425</v>
      </c>
    </row>
    <row r="333" customFormat="false" ht="15" hidden="false" customHeight="false" outlineLevel="0" collapsed="false">
      <c r="A333" s="5" t="s">
        <v>1426</v>
      </c>
      <c r="B333" s="5" t="s">
        <v>181</v>
      </c>
      <c r="C333" s="5" t="s">
        <v>1427</v>
      </c>
      <c r="D333" s="5" t="s">
        <v>1428</v>
      </c>
      <c r="E333" s="8" t="n">
        <f aca="false">VALUE(LEFT(D333,4))</f>
        <v>1983</v>
      </c>
      <c r="F333" s="6" t="n">
        <f aca="false">IF(LEN(D333)=10,DATE(VALUE(LEFT(D333,4)),VALUE(MID(D333,6,2)),VALUE(RIGHT(D333,2))),IF(LEN(D333)=7,DATE(VALUE(LEFT(D333,4)),VALUE(MID(D333,6,2)),15),DATE(VALUE(LEFT(D333,4)),7,1)))</f>
        <v>30543</v>
      </c>
      <c r="G333" s="6" t="n">
        <f aca="false">INDEX(Acts!$D:$D,MATCH(B333,Acts!$B:$B,0))</f>
        <v>30370</v>
      </c>
      <c r="H333" s="5" t="str">
        <f aca="false">IF(F333&gt;G333,"yes","no")</f>
        <v>yes</v>
      </c>
      <c r="I333" s="5" t="s">
        <v>218</v>
      </c>
      <c r="J333" s="5" t="n">
        <v>14</v>
      </c>
      <c r="K333" s="5" t="str">
        <f aca="false">IF(J333="","no","yes")</f>
        <v>yes</v>
      </c>
      <c r="L333" s="5" t="s">
        <v>271</v>
      </c>
      <c r="M333" s="7" t="n">
        <f aca="false">IF(L333="",0,IF(L333="Gold",0.5,IF(L333="Platinum",1,IF(L333="Diamond",10,IF(ISNUMBER(FIND("×",L333)),VALUE(LEFT(L333,FIND("×",L333)-1)),0)))))</f>
        <v>0.5</v>
      </c>
      <c r="N333" s="5" t="s">
        <v>1420</v>
      </c>
      <c r="O333" s="5"/>
    </row>
    <row r="334" customFormat="false" ht="15" hidden="false" customHeight="false" outlineLevel="0" collapsed="false">
      <c r="A334" s="5" t="s">
        <v>1429</v>
      </c>
      <c r="B334" s="5" t="s">
        <v>181</v>
      </c>
      <c r="C334" s="5" t="s">
        <v>1430</v>
      </c>
      <c r="D334" s="5" t="s">
        <v>1431</v>
      </c>
      <c r="E334" s="8" t="n">
        <f aca="false">VALUE(LEFT(D334,4))</f>
        <v>1986</v>
      </c>
      <c r="F334" s="6" t="n">
        <f aca="false">IF(LEN(D334)=10,DATE(VALUE(LEFT(D334,4)),VALUE(MID(D334,6,2)),VALUE(RIGHT(D334,2))),IF(LEN(D334)=7,DATE(VALUE(LEFT(D334,4)),VALUE(MID(D334,6,2)),15),DATE(VALUE(LEFT(D334,4)),7,1)))</f>
        <v>31646</v>
      </c>
      <c r="G334" s="6" t="n">
        <f aca="false">INDEX(Acts!$D:$D,MATCH(B334,Acts!$B:$B,0))</f>
        <v>30370</v>
      </c>
      <c r="H334" s="5" t="str">
        <f aca="false">IF(F334&gt;G334,"yes","no")</f>
        <v>yes</v>
      </c>
      <c r="I334" s="5" t="s">
        <v>218</v>
      </c>
      <c r="J334" s="5" t="n">
        <v>122</v>
      </c>
      <c r="K334" s="5" t="str">
        <f aca="false">IF(J334="","no","yes")</f>
        <v>yes</v>
      </c>
      <c r="L334" s="5"/>
      <c r="M334" s="7" t="n">
        <f aca="false">IF(L334="",0,IF(L334="Gold",0.5,IF(L334="Platinum",1,IF(L334="Diamond",10,IF(ISNUMBER(FIND("×",L334)),VALUE(LEFT(L334,FIND("×",L334)-1)),0)))))</f>
        <v>0</v>
      </c>
      <c r="N334" s="5" t="s">
        <v>1420</v>
      </c>
      <c r="O334" s="5"/>
    </row>
    <row r="335" customFormat="false" ht="15" hidden="false" customHeight="false" outlineLevel="0" collapsed="false">
      <c r="A335" s="5" t="s">
        <v>1432</v>
      </c>
      <c r="B335" s="5" t="s">
        <v>181</v>
      </c>
      <c r="C335" s="5" t="s">
        <v>1433</v>
      </c>
      <c r="D335" s="5" t="s">
        <v>1434</v>
      </c>
      <c r="E335" s="8" t="n">
        <f aca="false">VALUE(LEFT(D335,4))</f>
        <v>1989</v>
      </c>
      <c r="F335" s="6" t="n">
        <f aca="false">IF(LEN(D335)=10,DATE(VALUE(LEFT(D335,4)),VALUE(MID(D335,6,2)),VALUE(RIGHT(D335,2))),IF(LEN(D335)=7,DATE(VALUE(LEFT(D335,4)),VALUE(MID(D335,6,2)),15),DATE(VALUE(LEFT(D335,4)),7,1)))</f>
        <v>32582</v>
      </c>
      <c r="G335" s="6" t="n">
        <f aca="false">INDEX(Acts!$D:$D,MATCH(B335,Acts!$B:$B,0))</f>
        <v>30370</v>
      </c>
      <c r="H335" s="5" t="str">
        <f aca="false">IF(F335&gt;G335,"yes","no")</f>
        <v>yes</v>
      </c>
      <c r="I335" s="5" t="s">
        <v>218</v>
      </c>
      <c r="J335" s="5" t="n">
        <v>111</v>
      </c>
      <c r="K335" s="5" t="str">
        <f aca="false">IF(J335="","no","yes")</f>
        <v>yes</v>
      </c>
      <c r="L335" s="5"/>
      <c r="M335" s="7" t="n">
        <f aca="false">IF(L335="",0,IF(L335="Gold",0.5,IF(L335="Platinum",1,IF(L335="Diamond",10,IF(ISNUMBER(FIND("×",L335)),VALUE(LEFT(L335,FIND("×",L335)-1)),0)))))</f>
        <v>0</v>
      </c>
      <c r="N335" s="5" t="s">
        <v>1420</v>
      </c>
      <c r="O335" s="5"/>
    </row>
    <row r="336" customFormat="false" ht="15" hidden="false" customHeight="false" outlineLevel="0" collapsed="false">
      <c r="A336" s="5" t="s">
        <v>1435</v>
      </c>
      <c r="B336" s="5" t="s">
        <v>181</v>
      </c>
      <c r="C336" s="5" t="s">
        <v>1436</v>
      </c>
      <c r="D336" s="5" t="s">
        <v>1437</v>
      </c>
      <c r="E336" s="8" t="n">
        <f aca="false">VALUE(LEFT(D336,4))</f>
        <v>1990</v>
      </c>
      <c r="F336" s="6" t="n">
        <f aca="false">IF(LEN(D336)=10,DATE(VALUE(LEFT(D336,4)),VALUE(MID(D336,6,2)),VALUE(RIGHT(D336,2))),IF(LEN(D336)=7,DATE(VALUE(LEFT(D336,4)),VALUE(MID(D336,6,2)),15),DATE(VALUE(LEFT(D336,4)),7,1)))</f>
        <v>33226</v>
      </c>
      <c r="G336" s="6" t="n">
        <f aca="false">INDEX(Acts!$D:$D,MATCH(B336,Acts!$B:$B,0))</f>
        <v>30370</v>
      </c>
      <c r="H336" s="5" t="str">
        <f aca="false">IF(F336&gt;G336,"yes","no")</f>
        <v>yes</v>
      </c>
      <c r="I336" s="5" t="s">
        <v>230</v>
      </c>
      <c r="J336" s="5"/>
      <c r="K336" s="5" t="str">
        <f aca="false">IF(J336="","no","yes")</f>
        <v>no</v>
      </c>
      <c r="L336" s="5"/>
      <c r="M336" s="7" t="n">
        <f aca="false">IF(L336="",0,IF(L336="Gold",0.5,IF(L336="Platinum",1,IF(L336="Diamond",10,IF(ISNUMBER(FIND("×",L336)),VALUE(LEFT(L336,FIND("×",L336)-1)),0)))))</f>
        <v>0</v>
      </c>
      <c r="N336" s="5" t="s">
        <v>1420</v>
      </c>
      <c r="O336" s="5" t="s">
        <v>1438</v>
      </c>
    </row>
    <row r="337" customFormat="false" ht="15" hidden="false" customHeight="false" outlineLevel="0" collapsed="false">
      <c r="A337" s="5" t="s">
        <v>1439</v>
      </c>
      <c r="B337" s="5" t="s">
        <v>181</v>
      </c>
      <c r="C337" s="5" t="s">
        <v>1440</v>
      </c>
      <c r="D337" s="5" t="s">
        <v>1441</v>
      </c>
      <c r="E337" s="8" t="n">
        <f aca="false">VALUE(LEFT(D337,4))</f>
        <v>1992</v>
      </c>
      <c r="F337" s="6" t="n">
        <f aca="false">IF(LEN(D337)=10,DATE(VALUE(LEFT(D337,4)),VALUE(MID(D337,6,2)),VALUE(RIGHT(D337,2))),IF(LEN(D337)=7,DATE(VALUE(LEFT(D337,4)),VALUE(MID(D337,6,2)),15),DATE(VALUE(LEFT(D337,4)),7,1)))</f>
        <v>33746</v>
      </c>
      <c r="G337" s="6" t="n">
        <f aca="false">INDEX(Acts!$D:$D,MATCH(B337,Acts!$B:$B,0))</f>
        <v>30370</v>
      </c>
      <c r="H337" s="5" t="str">
        <f aca="false">IF(F337&gt;G337,"yes","no")</f>
        <v>yes</v>
      </c>
      <c r="I337" s="5" t="s">
        <v>230</v>
      </c>
      <c r="J337" s="5"/>
      <c r="K337" s="5" t="str">
        <f aca="false">IF(J337="","no","yes")</f>
        <v>no</v>
      </c>
      <c r="L337" s="5"/>
      <c r="M337" s="7" t="n">
        <f aca="false">IF(L337="",0,IF(L337="Gold",0.5,IF(L337="Platinum",1,IF(L337="Diamond",10,IF(ISNUMBER(FIND("×",L337)),VALUE(LEFT(L337,FIND("×",L337)-1)),0)))))</f>
        <v>0</v>
      </c>
      <c r="N337" s="5" t="s">
        <v>1420</v>
      </c>
      <c r="O337" s="5" t="s">
        <v>1442</v>
      </c>
    </row>
    <row r="338" customFormat="false" ht="15" hidden="false" customHeight="false" outlineLevel="0" collapsed="false">
      <c r="A338" s="5" t="s">
        <v>1443</v>
      </c>
      <c r="B338" s="5" t="s">
        <v>181</v>
      </c>
      <c r="C338" s="5" t="s">
        <v>1444</v>
      </c>
      <c r="D338" s="5" t="s">
        <v>994</v>
      </c>
      <c r="E338" s="8" t="n">
        <f aca="false">VALUE(LEFT(D338,4))</f>
        <v>1993</v>
      </c>
      <c r="F338" s="6" t="n">
        <f aca="false">IF(LEN(D338)=10,DATE(VALUE(LEFT(D338,4)),VALUE(MID(D338,6,2)),VALUE(RIGHT(D338,2))),IF(LEN(D338)=7,DATE(VALUE(LEFT(D338,4)),VALUE(MID(D338,6,2)),15),DATE(VALUE(LEFT(D338,4)),7,1)))</f>
        <v>34115</v>
      </c>
      <c r="G338" s="6" t="n">
        <f aca="false">INDEX(Acts!$D:$D,MATCH(B338,Acts!$B:$B,0))</f>
        <v>30370</v>
      </c>
      <c r="H338" s="5" t="str">
        <f aca="false">IF(F338&gt;G338,"yes","no")</f>
        <v>yes</v>
      </c>
      <c r="I338" s="5" t="s">
        <v>230</v>
      </c>
      <c r="J338" s="5"/>
      <c r="K338" s="5" t="str">
        <f aca="false">IF(J338="","no","yes")</f>
        <v>no</v>
      </c>
      <c r="L338" s="5"/>
      <c r="M338" s="7" t="n">
        <f aca="false">IF(L338="",0,IF(L338="Gold",0.5,IF(L338="Platinum",1,IF(L338="Diamond",10,IF(ISNUMBER(FIND("×",L338)),VALUE(LEFT(L338,FIND("×",L338)-1)),0)))))</f>
        <v>0</v>
      </c>
      <c r="N338" s="5" t="s">
        <v>1420</v>
      </c>
      <c r="O338" s="5" t="s">
        <v>1445</v>
      </c>
    </row>
    <row r="339" customFormat="false" ht="15" hidden="false" customHeight="false" outlineLevel="0" collapsed="false">
      <c r="A339" s="5" t="s">
        <v>1446</v>
      </c>
      <c r="B339" s="5" t="s">
        <v>181</v>
      </c>
      <c r="C339" s="5" t="s">
        <v>1447</v>
      </c>
      <c r="D339" s="5" t="s">
        <v>1448</v>
      </c>
      <c r="E339" s="8" t="n">
        <f aca="false">VALUE(LEFT(D339,4))</f>
        <v>2019</v>
      </c>
      <c r="F339" s="6" t="n">
        <f aca="false">IF(LEN(D339)=10,DATE(VALUE(LEFT(D339,4)),VALUE(MID(D339,6,2)),VALUE(RIGHT(D339,2))),IF(LEN(D339)=7,DATE(VALUE(LEFT(D339,4)),VALUE(MID(D339,6,2)),15),DATE(VALUE(LEFT(D339,4)),7,1)))</f>
        <v>43609</v>
      </c>
      <c r="G339" s="6" t="n">
        <f aca="false">INDEX(Acts!$D:$D,MATCH(B339,Acts!$B:$B,0))</f>
        <v>30370</v>
      </c>
      <c r="H339" s="5" t="str">
        <f aca="false">IF(F339&gt;G339,"yes","no")</f>
        <v>yes</v>
      </c>
      <c r="I339" s="5" t="s">
        <v>218</v>
      </c>
      <c r="J339" s="5" t="n">
        <v>93</v>
      </c>
      <c r="K339" s="5" t="str">
        <f aca="false">IF(J339="","no","yes")</f>
        <v>yes</v>
      </c>
      <c r="L339" s="5"/>
      <c r="M339" s="7" t="n">
        <f aca="false">IF(L339="",0,IF(L339="Gold",0.5,IF(L339="Platinum",1,IF(L339="Diamond",10,IF(ISNUMBER(FIND("×",L339)),VALUE(LEFT(L339,FIND("×",L339)-1)),0)))))</f>
        <v>0</v>
      </c>
      <c r="N339" s="5" t="s">
        <v>1420</v>
      </c>
      <c r="O339" s="5" t="s">
        <v>1449</v>
      </c>
    </row>
    <row r="340" customFormat="false" ht="15" hidden="false" customHeight="false" outlineLevel="0" collapsed="false">
      <c r="A340" s="5" t="s">
        <v>1450</v>
      </c>
      <c r="B340" s="5" t="s">
        <v>184</v>
      </c>
      <c r="C340" s="5" t="s">
        <v>1451</v>
      </c>
      <c r="D340" s="5" t="s">
        <v>1452</v>
      </c>
      <c r="E340" s="8" t="n">
        <f aca="false">VALUE(LEFT(D340,4))</f>
        <v>1987</v>
      </c>
      <c r="F340" s="6" t="n">
        <f aca="false">IF(LEN(D340)=10,DATE(VALUE(LEFT(D340,4)),VALUE(MID(D340,6,2)),VALUE(RIGHT(D340,2))),IF(LEN(D340)=7,DATE(VALUE(LEFT(D340,4)),VALUE(MID(D340,6,2)),15),DATE(VALUE(LEFT(D340,4)),7,1)))</f>
        <v>31908</v>
      </c>
      <c r="G340" s="6" t="n">
        <f aca="false">INDEX(Acts!$D:$D,MATCH(B340,Acts!$B:$B,0))</f>
        <v>32204</v>
      </c>
      <c r="H340" s="5" t="str">
        <f aca="false">IF(F340&gt;G340,"yes","no")</f>
        <v>no</v>
      </c>
      <c r="I340" s="5" t="s">
        <v>218</v>
      </c>
      <c r="J340" s="5" t="n">
        <v>40</v>
      </c>
      <c r="K340" s="5" t="str">
        <f aca="false">IF(J340="","no","yes")</f>
        <v>yes</v>
      </c>
      <c r="L340" s="5"/>
      <c r="M340" s="7" t="n">
        <f aca="false">IF(L340="",0,IF(L340="Gold",0.5,IF(L340="Platinum",1,IF(L340="Diamond",10,IF(ISNUMBER(FIND("×",L340)),VALUE(LEFT(L340,FIND("×",L340)-1)),0)))))</f>
        <v>0</v>
      </c>
      <c r="N340" s="5" t="s">
        <v>1453</v>
      </c>
      <c r="O340" s="5" t="s">
        <v>1454</v>
      </c>
    </row>
    <row r="341" customFormat="false" ht="15" hidden="false" customHeight="false" outlineLevel="0" collapsed="false">
      <c r="A341" s="5" t="s">
        <v>1455</v>
      </c>
      <c r="B341" s="5" t="s">
        <v>184</v>
      </c>
      <c r="C341" s="5" t="s">
        <v>1456</v>
      </c>
      <c r="D341" s="5" t="s">
        <v>1457</v>
      </c>
      <c r="E341" s="8" t="n">
        <f aca="false">VALUE(LEFT(D341,4))</f>
        <v>1989</v>
      </c>
      <c r="F341" s="6" t="n">
        <f aca="false">IF(LEN(D341)=10,DATE(VALUE(LEFT(D341,4)),VALUE(MID(D341,6,2)),VALUE(RIGHT(D341,2))),IF(LEN(D341)=7,DATE(VALUE(LEFT(D341,4)),VALUE(MID(D341,6,2)),15),DATE(VALUE(LEFT(D341,4)),7,1)))</f>
        <v>32636</v>
      </c>
      <c r="G341" s="6" t="n">
        <f aca="false">INDEX(Acts!$D:$D,MATCH(B341,Acts!$B:$B,0))</f>
        <v>32204</v>
      </c>
      <c r="H341" s="5" t="str">
        <f aca="false">IF(F341&gt;G341,"yes","no")</f>
        <v>yes</v>
      </c>
      <c r="I341" s="5" t="s">
        <v>218</v>
      </c>
      <c r="J341" s="5" t="n">
        <v>61</v>
      </c>
      <c r="K341" s="5" t="str">
        <f aca="false">IF(J341="","no","yes")</f>
        <v>yes</v>
      </c>
      <c r="L341" s="5"/>
      <c r="M341" s="7" t="n">
        <f aca="false">IF(L341="",0,IF(L341="Gold",0.5,IF(L341="Platinum",1,IF(L341="Diamond",10,IF(ISNUMBER(FIND("×",L341)),VALUE(LEFT(L341,FIND("×",L341)-1)),0)))))</f>
        <v>0</v>
      </c>
      <c r="N341" s="5" t="s">
        <v>1453</v>
      </c>
      <c r="O341" s="5" t="s">
        <v>1454</v>
      </c>
    </row>
    <row r="342" customFormat="false" ht="15" hidden="false" customHeight="false" outlineLevel="0" collapsed="false">
      <c r="A342" s="5" t="s">
        <v>1458</v>
      </c>
      <c r="B342" s="5" t="s">
        <v>184</v>
      </c>
      <c r="C342" s="5" t="s">
        <v>1459</v>
      </c>
      <c r="D342" s="5" t="s">
        <v>1460</v>
      </c>
      <c r="E342" s="8" t="n">
        <f aca="false">VALUE(LEFT(D342,4))</f>
        <v>1992</v>
      </c>
      <c r="F342" s="6" t="n">
        <f aca="false">IF(LEN(D342)=10,DATE(VALUE(LEFT(D342,4)),VALUE(MID(D342,6,2)),VALUE(RIGHT(D342,2))),IF(LEN(D342)=7,DATE(VALUE(LEFT(D342,4)),VALUE(MID(D342,6,2)),15),DATE(VALUE(LEFT(D342,4)),7,1)))</f>
        <v>33728</v>
      </c>
      <c r="G342" s="6" t="n">
        <f aca="false">INDEX(Acts!$D:$D,MATCH(B342,Acts!$B:$B,0))</f>
        <v>32204</v>
      </c>
      <c r="H342" s="5" t="str">
        <f aca="false">IF(F342&gt;G342,"yes","no")</f>
        <v>yes</v>
      </c>
      <c r="I342" s="5" t="s">
        <v>218</v>
      </c>
      <c r="J342" s="5" t="n">
        <v>113</v>
      </c>
      <c r="K342" s="5" t="str">
        <f aca="false">IF(J342="","no","yes")</f>
        <v>yes</v>
      </c>
      <c r="L342" s="5"/>
      <c r="M342" s="7" t="n">
        <f aca="false">IF(L342="",0,IF(L342="Gold",0.5,IF(L342="Platinum",1,IF(L342="Diamond",10,IF(ISNUMBER(FIND("×",L342)),VALUE(LEFT(L342,FIND("×",L342)-1)),0)))))</f>
        <v>0</v>
      </c>
      <c r="N342" s="5" t="s">
        <v>1453</v>
      </c>
      <c r="O342" s="5"/>
    </row>
    <row r="343" customFormat="false" ht="15" hidden="false" customHeight="false" outlineLevel="0" collapsed="false">
      <c r="A343" s="5" t="s">
        <v>1461</v>
      </c>
      <c r="B343" s="5" t="s">
        <v>184</v>
      </c>
      <c r="C343" s="5" t="s">
        <v>1462</v>
      </c>
      <c r="D343" s="5" t="s">
        <v>1463</v>
      </c>
      <c r="E343" s="8" t="n">
        <f aca="false">VALUE(LEFT(D343,4))</f>
        <v>1994</v>
      </c>
      <c r="F343" s="6" t="n">
        <f aca="false">IF(LEN(D343)=10,DATE(VALUE(LEFT(D343,4)),VALUE(MID(D343,6,2)),VALUE(RIGHT(D343,2))),IF(LEN(D343)=7,DATE(VALUE(LEFT(D343,4)),VALUE(MID(D343,6,2)),15),DATE(VALUE(LEFT(D343,4)),7,1)))</f>
        <v>34556</v>
      </c>
      <c r="G343" s="6" t="n">
        <f aca="false">INDEX(Acts!$D:$D,MATCH(B343,Acts!$B:$B,0))</f>
        <v>32204</v>
      </c>
      <c r="H343" s="5" t="str">
        <f aca="false">IF(F343&gt;G343,"yes","no")</f>
        <v>yes</v>
      </c>
      <c r="I343" s="5" t="s">
        <v>230</v>
      </c>
      <c r="J343" s="5"/>
      <c r="K343" s="5" t="str">
        <f aca="false">IF(J343="","no","yes")</f>
        <v>no</v>
      </c>
      <c r="L343" s="5"/>
      <c r="M343" s="7" t="n">
        <f aca="false">IF(L343="",0,IF(L343="Gold",0.5,IF(L343="Platinum",1,IF(L343="Diamond",10,IF(ISNUMBER(FIND("×",L343)),VALUE(LEFT(L343,FIND("×",L343)-1)),0)))))</f>
        <v>0</v>
      </c>
      <c r="N343" s="5" t="s">
        <v>1464</v>
      </c>
      <c r="O343" s="5" t="s">
        <v>1465</v>
      </c>
    </row>
    <row r="344" customFormat="false" ht="15" hidden="false" customHeight="false" outlineLevel="0" collapsed="false">
      <c r="A344" s="5" t="s">
        <v>1466</v>
      </c>
      <c r="B344" s="5" t="s">
        <v>184</v>
      </c>
      <c r="C344" s="5" t="s">
        <v>1467</v>
      </c>
      <c r="D344" s="5" t="s">
        <v>1468</v>
      </c>
      <c r="E344" s="8" t="n">
        <f aca="false">VALUE(LEFT(D344,4))</f>
        <v>1997</v>
      </c>
      <c r="F344" s="6" t="n">
        <f aca="false">IF(LEN(D344)=10,DATE(VALUE(LEFT(D344,4)),VALUE(MID(D344,6,2)),VALUE(RIGHT(D344,2))),IF(LEN(D344)=7,DATE(VALUE(LEFT(D344,4)),VALUE(MID(D344,6,2)),15),DATE(VALUE(LEFT(D344,4)),7,1)))</f>
        <v>35494</v>
      </c>
      <c r="G344" s="6" t="n">
        <f aca="false">INDEX(Acts!$D:$D,MATCH(B344,Acts!$B:$B,0))</f>
        <v>32204</v>
      </c>
      <c r="H344" s="5" t="str">
        <f aca="false">IF(F344&gt;G344,"yes","no")</f>
        <v>yes</v>
      </c>
      <c r="I344" s="5" t="s">
        <v>218</v>
      </c>
      <c r="J344" s="5"/>
      <c r="K344" s="5" t="str">
        <f aca="false">IF(J344="","no","yes")</f>
        <v>no</v>
      </c>
      <c r="L344" s="5"/>
      <c r="M344" s="7" t="n">
        <f aca="false">IF(L344="",0,IF(L344="Gold",0.5,IF(L344="Platinum",1,IF(L344="Diamond",10,IF(ISNUMBER(FIND("×",L344)),VALUE(LEFT(L344,FIND("×",L344)-1)),0)))))</f>
        <v>0</v>
      </c>
      <c r="N344" s="5" t="s">
        <v>1469</v>
      </c>
      <c r="O344" s="5" t="s">
        <v>1470</v>
      </c>
    </row>
    <row r="345" customFormat="false" ht="15" hidden="false" customHeight="false" outlineLevel="0" collapsed="false">
      <c r="A345" s="5" t="s">
        <v>1471</v>
      </c>
      <c r="B345" s="5" t="s">
        <v>184</v>
      </c>
      <c r="C345" s="5" t="s">
        <v>1472</v>
      </c>
      <c r="D345" s="5" t="s">
        <v>1473</v>
      </c>
      <c r="E345" s="8" t="n">
        <f aca="false">VALUE(LEFT(D345,4))</f>
        <v>1999</v>
      </c>
      <c r="F345" s="6" t="n">
        <f aca="false">IF(LEN(D345)=10,DATE(VALUE(LEFT(D345,4)),VALUE(MID(D345,6,2)),VALUE(RIGHT(D345,2))),IF(LEN(D345)=7,DATE(VALUE(LEFT(D345,4)),VALUE(MID(D345,6,2)),15),DATE(VALUE(LEFT(D345,4)),7,1)))</f>
        <v>36236</v>
      </c>
      <c r="G345" s="6" t="n">
        <f aca="false">INDEX(Acts!$D:$D,MATCH(B345,Acts!$B:$B,0))</f>
        <v>32204</v>
      </c>
      <c r="H345" s="5" t="str">
        <f aca="false">IF(F345&gt;G345,"yes","no")</f>
        <v>yes</v>
      </c>
      <c r="I345" s="5" t="s">
        <v>240</v>
      </c>
      <c r="J345" s="5"/>
      <c r="K345" s="5" t="str">
        <f aca="false">IF(J345="","no","yes")</f>
        <v>no</v>
      </c>
      <c r="L345" s="5"/>
      <c r="M345" s="7" t="n">
        <f aca="false">IF(L345="",0,IF(L345="Gold",0.5,IF(L345="Platinum",1,IF(L345="Diamond",10,IF(ISNUMBER(FIND("×",L345)),VALUE(LEFT(L345,FIND("×",L345)-1)),0)))))</f>
        <v>0</v>
      </c>
      <c r="N345" s="5" t="s">
        <v>1474</v>
      </c>
      <c r="O345" s="5" t="s">
        <v>1475</v>
      </c>
    </row>
    <row r="346" customFormat="false" ht="15" hidden="false" customHeight="false" outlineLevel="0" collapsed="false">
      <c r="A346" s="5" t="s">
        <v>1476</v>
      </c>
      <c r="B346" s="5" t="s">
        <v>184</v>
      </c>
      <c r="C346" s="5" t="s">
        <v>1477</v>
      </c>
      <c r="D346" s="5" t="s">
        <v>1478</v>
      </c>
      <c r="E346" s="8" t="n">
        <f aca="false">VALUE(LEFT(D346,4))</f>
        <v>2001</v>
      </c>
      <c r="F346" s="6" t="n">
        <f aca="false">IF(LEN(D346)=10,DATE(VALUE(LEFT(D346,4)),VALUE(MID(D346,6,2)),VALUE(RIGHT(D346,2))),IF(LEN(D346)=7,DATE(VALUE(LEFT(D346,4)),VALUE(MID(D346,6,2)),15),DATE(VALUE(LEFT(D346,4)),7,1)))</f>
        <v>37026</v>
      </c>
      <c r="G346" s="6" t="n">
        <f aca="false">INDEX(Acts!$D:$D,MATCH(B346,Acts!$B:$B,0))</f>
        <v>32204</v>
      </c>
      <c r="H346" s="5" t="str">
        <f aca="false">IF(F346&gt;G346,"yes","no")</f>
        <v>yes</v>
      </c>
      <c r="I346" s="5" t="s">
        <v>240</v>
      </c>
      <c r="J346" s="5"/>
      <c r="K346" s="5" t="str">
        <f aca="false">IF(J346="","no","yes")</f>
        <v>no</v>
      </c>
      <c r="L346" s="5"/>
      <c r="M346" s="7" t="n">
        <f aca="false">IF(L346="",0,IF(L346="Gold",0.5,IF(L346="Platinum",1,IF(L346="Diamond",10,IF(ISNUMBER(FIND("×",L346)),VALUE(LEFT(L346,FIND("×",L346)-1)),0)))))</f>
        <v>0</v>
      </c>
      <c r="N346" s="5" t="s">
        <v>1479</v>
      </c>
      <c r="O346" s="5" t="s">
        <v>1480</v>
      </c>
    </row>
    <row r="347" customFormat="false" ht="15" hidden="false" customHeight="false" outlineLevel="0" collapsed="false">
      <c r="A347" s="5" t="s">
        <v>1481</v>
      </c>
      <c r="B347" s="5" t="s">
        <v>184</v>
      </c>
      <c r="C347" s="5" t="s">
        <v>1482</v>
      </c>
      <c r="D347" s="5" t="s">
        <v>1483</v>
      </c>
      <c r="E347" s="8" t="n">
        <f aca="false">VALUE(LEFT(D347,4))</f>
        <v>2004</v>
      </c>
      <c r="F347" s="6" t="n">
        <f aca="false">IF(LEN(D347)=10,DATE(VALUE(LEFT(D347,4)),VALUE(MID(D347,6,2)),VALUE(RIGHT(D347,2))),IF(LEN(D347)=7,DATE(VALUE(LEFT(D347,4)),VALUE(MID(D347,6,2)),15),DATE(VALUE(LEFT(D347,4)),7,1)))</f>
        <v>38105</v>
      </c>
      <c r="G347" s="6" t="n">
        <f aca="false">INDEX(Acts!$D:$D,MATCH(B347,Acts!$B:$B,0))</f>
        <v>32204</v>
      </c>
      <c r="H347" s="5" t="str">
        <f aca="false">IF(F347&gt;G347,"yes","no")</f>
        <v>yes</v>
      </c>
      <c r="I347" s="5" t="s">
        <v>218</v>
      </c>
      <c r="J347" s="5"/>
      <c r="K347" s="5" t="str">
        <f aca="false">IF(J347="","no","yes")</f>
        <v>no</v>
      </c>
      <c r="L347" s="5"/>
      <c r="M347" s="7" t="n">
        <f aca="false">IF(L347="",0,IF(L347="Gold",0.5,IF(L347="Platinum",1,IF(L347="Diamond",10,IF(ISNUMBER(FIND("×",L347)),VALUE(LEFT(L347,FIND("×",L347)-1)),0)))))</f>
        <v>0</v>
      </c>
      <c r="N347" s="5" t="s">
        <v>1453</v>
      </c>
      <c r="O347" s="5" t="s">
        <v>1484</v>
      </c>
    </row>
    <row r="348" customFormat="false" ht="15" hidden="false" customHeight="false" outlineLevel="0" collapsed="false">
      <c r="A348" s="5" t="s">
        <v>1485</v>
      </c>
      <c r="B348" s="5" t="s">
        <v>184</v>
      </c>
      <c r="C348" s="5" t="s">
        <v>1486</v>
      </c>
      <c r="D348" s="5" t="s">
        <v>1487</v>
      </c>
      <c r="E348" s="8" t="n">
        <f aca="false">VALUE(LEFT(D348,4))</f>
        <v>2008</v>
      </c>
      <c r="F348" s="6" t="n">
        <f aca="false">IF(LEN(D348)=10,DATE(VALUE(LEFT(D348,4)),VALUE(MID(D348,6,2)),VALUE(RIGHT(D348,2))),IF(LEN(D348)=7,DATE(VALUE(LEFT(D348,4)),VALUE(MID(D348,6,2)),15),DATE(VALUE(LEFT(D348,4)),7,1)))</f>
        <v>39493</v>
      </c>
      <c r="G348" s="6" t="n">
        <f aca="false">INDEX(Acts!$D:$D,MATCH(B348,Acts!$B:$B,0))</f>
        <v>32204</v>
      </c>
      <c r="H348" s="5" t="str">
        <f aca="false">IF(F348&gt;G348,"yes","no")</f>
        <v>yes</v>
      </c>
      <c r="I348" s="5" t="s">
        <v>218</v>
      </c>
      <c r="J348" s="5"/>
      <c r="K348" s="5" t="str">
        <f aca="false">IF(J348="","no","yes")</f>
        <v>no</v>
      </c>
      <c r="L348" s="5"/>
      <c r="M348" s="7" t="n">
        <f aca="false">IF(L348="",0,IF(L348="Gold",0.5,IF(L348="Platinum",1,IF(L348="Diamond",10,IF(ISNUMBER(FIND("×",L348)),VALUE(LEFT(L348,FIND("×",L348)-1)),0)))))</f>
        <v>0</v>
      </c>
      <c r="N348" s="5" t="s">
        <v>1488</v>
      </c>
      <c r="O348" s="5" t="s">
        <v>1489</v>
      </c>
    </row>
    <row r="349" customFormat="false" ht="15" hidden="false" customHeight="false" outlineLevel="0" collapsed="false">
      <c r="A349" s="5" t="s">
        <v>1490</v>
      </c>
      <c r="B349" s="5" t="s">
        <v>184</v>
      </c>
      <c r="C349" s="5" t="s">
        <v>1491</v>
      </c>
      <c r="D349" s="5" t="s">
        <v>1492</v>
      </c>
      <c r="E349" s="8" t="n">
        <f aca="false">VALUE(LEFT(D349,4))</f>
        <v>2017</v>
      </c>
      <c r="F349" s="6" t="n">
        <f aca="false">IF(LEN(D349)=10,DATE(VALUE(LEFT(D349,4)),VALUE(MID(D349,6,2)),VALUE(RIGHT(D349,2))),IF(LEN(D349)=7,DATE(VALUE(LEFT(D349,4)),VALUE(MID(D349,6,2)),15),DATE(VALUE(LEFT(D349,4)),7,1)))</f>
        <v>43054</v>
      </c>
      <c r="G349" s="6" t="n">
        <f aca="false">INDEX(Acts!$D:$D,MATCH(B349,Acts!$B:$B,0))</f>
        <v>32204</v>
      </c>
      <c r="H349" s="5" t="str">
        <f aca="false">IF(F349&gt;G349,"yes","no")</f>
        <v>yes</v>
      </c>
      <c r="I349" s="5" t="s">
        <v>218</v>
      </c>
      <c r="J349" s="5"/>
      <c r="K349" s="5" t="str">
        <f aca="false">IF(J349="","no","yes")</f>
        <v>no</v>
      </c>
      <c r="L349" s="5"/>
      <c r="M349" s="7" t="n">
        <f aca="false">IF(L349="",0,IF(L349="Gold",0.5,IF(L349="Platinum",1,IF(L349="Diamond",10,IF(ISNUMBER(FIND("×",L349)),VALUE(LEFT(L349,FIND("×",L349)-1)),0)))))</f>
        <v>0</v>
      </c>
      <c r="N349" s="5" t="s">
        <v>1493</v>
      </c>
      <c r="O349" s="5" t="s">
        <v>1494</v>
      </c>
    </row>
    <row r="350" customFormat="false" ht="15" hidden="false" customHeight="false" outlineLevel="0" collapsed="false">
      <c r="A350" s="5" t="s">
        <v>1495</v>
      </c>
      <c r="B350" s="5" t="s">
        <v>186</v>
      </c>
      <c r="C350" s="5" t="s">
        <v>186</v>
      </c>
      <c r="D350" s="5" t="s">
        <v>1496</v>
      </c>
      <c r="E350" s="8" t="n">
        <f aca="false">VALUE(LEFT(D350,4))</f>
        <v>1988</v>
      </c>
      <c r="F350" s="6" t="n">
        <f aca="false">IF(LEN(D350)=10,DATE(VALUE(LEFT(D350,4)),VALUE(MID(D350,6,2)),VALUE(RIGHT(D350,2))),IF(LEN(D350)=7,DATE(VALUE(LEFT(D350,4)),VALUE(MID(D350,6,2)),15),DATE(VALUE(LEFT(D350,4)),7,1)))</f>
        <v>32325</v>
      </c>
      <c r="G350" s="6" t="n">
        <f aca="false">INDEX(Acts!$D:$D,MATCH(B350,Acts!$B:$B,0))</f>
        <v>32561</v>
      </c>
      <c r="H350" s="5" t="str">
        <f aca="false">IF(F350&gt;G350,"yes","no")</f>
        <v>no</v>
      </c>
      <c r="I350" s="5" t="s">
        <v>218</v>
      </c>
      <c r="J350" s="5" t="n">
        <v>71</v>
      </c>
      <c r="K350" s="5" t="str">
        <f aca="false">IF(J350="","no","yes")</f>
        <v>yes</v>
      </c>
      <c r="L350" s="5" t="s">
        <v>219</v>
      </c>
      <c r="M350" s="7" t="n">
        <f aca="false">IF(L350="",0,IF(L350="Gold",0.5,IF(L350="Platinum",1,IF(L350="Diamond",10,IF(ISNUMBER(FIND("×",L350)),VALUE(LEFT(L350,FIND("×",L350)-1)),0)))))</f>
        <v>1</v>
      </c>
      <c r="N350" s="5" t="s">
        <v>1497</v>
      </c>
      <c r="O350" s="5" t="s">
        <v>1498</v>
      </c>
    </row>
    <row r="351" customFormat="false" ht="15" hidden="false" customHeight="false" outlineLevel="0" collapsed="false">
      <c r="A351" s="5" t="s">
        <v>1499</v>
      </c>
      <c r="B351" s="5" t="s">
        <v>186</v>
      </c>
      <c r="C351" s="5" t="s">
        <v>1500</v>
      </c>
      <c r="D351" s="5" t="s">
        <v>1501</v>
      </c>
      <c r="E351" s="8" t="n">
        <f aca="false">VALUE(LEFT(D351,4))</f>
        <v>1990</v>
      </c>
      <c r="F351" s="6" t="n">
        <f aca="false">IF(LEN(D351)=10,DATE(VALUE(LEFT(D351,4)),VALUE(MID(D351,6,2)),VALUE(RIGHT(D351,2))),IF(LEN(D351)=7,DATE(VALUE(LEFT(D351,4)),VALUE(MID(D351,6,2)),15),DATE(VALUE(LEFT(D351,4)),7,1)))</f>
        <v>33116</v>
      </c>
      <c r="G351" s="6" t="n">
        <f aca="false">INDEX(Acts!$D:$D,MATCH(B351,Acts!$B:$B,0))</f>
        <v>32561</v>
      </c>
      <c r="H351" s="5" t="str">
        <f aca="false">IF(F351&gt;G351,"yes","no")</f>
        <v>yes</v>
      </c>
      <c r="I351" s="5" t="s">
        <v>218</v>
      </c>
      <c r="J351" s="5" t="n">
        <v>72</v>
      </c>
      <c r="K351" s="5" t="str">
        <f aca="false">IF(J351="","no","yes")</f>
        <v>yes</v>
      </c>
      <c r="L351" s="5"/>
      <c r="M351" s="7" t="n">
        <f aca="false">IF(L351="",0,IF(L351="Gold",0.5,IF(L351="Platinum",1,IF(L351="Diamond",10,IF(ISNUMBER(FIND("×",L351)),VALUE(LEFT(L351,FIND("×",L351)-1)),0)))))</f>
        <v>0</v>
      </c>
      <c r="N351" s="5" t="s">
        <v>1497</v>
      </c>
      <c r="O351" s="5"/>
    </row>
    <row r="352" customFormat="false" ht="15" hidden="false" customHeight="false" outlineLevel="0" collapsed="false">
      <c r="A352" s="5" t="s">
        <v>1502</v>
      </c>
      <c r="B352" s="5" t="s">
        <v>186</v>
      </c>
      <c r="C352" s="5" t="s">
        <v>1503</v>
      </c>
      <c r="D352" s="5" t="s">
        <v>1504</v>
      </c>
      <c r="E352" s="8" t="n">
        <f aca="false">VALUE(LEFT(D352,4))</f>
        <v>1991</v>
      </c>
      <c r="F352" s="6" t="n">
        <f aca="false">IF(LEN(D352)=10,DATE(VALUE(LEFT(D352,4)),VALUE(MID(D352,6,2)),VALUE(RIGHT(D352,2))),IF(LEN(D352)=7,DATE(VALUE(LEFT(D352,4)),VALUE(MID(D352,6,2)),15),DATE(VALUE(LEFT(D352,4)),7,1)))</f>
        <v>33491</v>
      </c>
      <c r="G352" s="6" t="n">
        <f aca="false">INDEX(Acts!$D:$D,MATCH(B352,Acts!$B:$B,0))</f>
        <v>32561</v>
      </c>
      <c r="H352" s="5" t="str">
        <f aca="false">IF(F352&gt;G352,"yes","no")</f>
        <v>yes</v>
      </c>
      <c r="I352" s="5" t="s">
        <v>218</v>
      </c>
      <c r="J352" s="5" t="n">
        <v>100</v>
      </c>
      <c r="K352" s="5" t="str">
        <f aca="false">IF(J352="","no","yes")</f>
        <v>yes</v>
      </c>
      <c r="L352" s="5"/>
      <c r="M352" s="7" t="n">
        <f aca="false">IF(L352="",0,IF(L352="Gold",0.5,IF(L352="Platinum",1,IF(L352="Diamond",10,IF(ISNUMBER(FIND("×",L352)),VALUE(LEFT(L352,FIND("×",L352)-1)),0)))))</f>
        <v>0</v>
      </c>
      <c r="N352" s="5" t="s">
        <v>1497</v>
      </c>
      <c r="O352" s="5"/>
    </row>
    <row r="353" customFormat="false" ht="15" hidden="false" customHeight="false" outlineLevel="0" collapsed="false">
      <c r="A353" s="5" t="s">
        <v>1505</v>
      </c>
      <c r="B353" s="5" t="s">
        <v>186</v>
      </c>
      <c r="C353" s="5" t="s">
        <v>1506</v>
      </c>
      <c r="D353" s="5" t="s">
        <v>1507</v>
      </c>
      <c r="E353" s="8" t="n">
        <f aca="false">VALUE(LEFT(D353,4))</f>
        <v>1994</v>
      </c>
      <c r="F353" s="6" t="n">
        <f aca="false">IF(LEN(D353)=10,DATE(VALUE(LEFT(D353,4)),VALUE(MID(D353,6,2)),VALUE(RIGHT(D353,2))),IF(LEN(D353)=7,DATE(VALUE(LEFT(D353,4)),VALUE(MID(D353,6,2)),15),DATE(VALUE(LEFT(D353,4)),7,1)))</f>
        <v>34513</v>
      </c>
      <c r="G353" s="6" t="n">
        <f aca="false">INDEX(Acts!$D:$D,MATCH(B353,Acts!$B:$B,0))</f>
        <v>32561</v>
      </c>
      <c r="H353" s="5" t="str">
        <f aca="false">IF(F353&gt;G353,"yes","no")</f>
        <v>yes</v>
      </c>
      <c r="I353" s="5" t="s">
        <v>218</v>
      </c>
      <c r="J353" s="5" t="n">
        <v>86</v>
      </c>
      <c r="K353" s="5" t="str">
        <f aca="false">IF(J353="","no","yes")</f>
        <v>yes</v>
      </c>
      <c r="L353" s="5" t="s">
        <v>271</v>
      </c>
      <c r="M353" s="7" t="n">
        <f aca="false">IF(L353="",0,IF(L353="Gold",0.5,IF(L353="Platinum",1,IF(L353="Diamond",10,IF(ISNUMBER(FIND("×",L353)),VALUE(LEFT(L353,FIND("×",L353)-1)),0)))))</f>
        <v>0.5</v>
      </c>
      <c r="N353" s="5" t="s">
        <v>1497</v>
      </c>
      <c r="O353" s="5" t="s">
        <v>1508</v>
      </c>
    </row>
    <row r="354" customFormat="false" ht="15" hidden="false" customHeight="false" outlineLevel="0" collapsed="false">
      <c r="A354" s="5" t="s">
        <v>1509</v>
      </c>
      <c r="B354" s="5" t="s">
        <v>186</v>
      </c>
      <c r="C354" s="5" t="s">
        <v>1510</v>
      </c>
      <c r="D354" s="5" t="s">
        <v>1511</v>
      </c>
      <c r="E354" s="8" t="n">
        <f aca="false">VALUE(LEFT(D354,4))</f>
        <v>1996</v>
      </c>
      <c r="F354" s="6" t="n">
        <f aca="false">IF(LEN(D354)=10,DATE(VALUE(LEFT(D354,4)),VALUE(MID(D354,6,2)),VALUE(RIGHT(D354,2))),IF(LEN(D354)=7,DATE(VALUE(LEFT(D354,4)),VALUE(MID(D354,6,2)),15),DATE(VALUE(LEFT(D354,4)),7,1)))</f>
        <v>35367</v>
      </c>
      <c r="G354" s="6" t="n">
        <f aca="false">INDEX(Acts!$D:$D,MATCH(B354,Acts!$B:$B,0))</f>
        <v>32561</v>
      </c>
      <c r="H354" s="5" t="str">
        <f aca="false">IF(F354&gt;G354,"yes","no")</f>
        <v>yes</v>
      </c>
      <c r="I354" s="5" t="s">
        <v>218</v>
      </c>
      <c r="J354" s="5"/>
      <c r="K354" s="5" t="str">
        <f aca="false">IF(J354="","no","yes")</f>
        <v>no</v>
      </c>
      <c r="L354" s="5"/>
      <c r="M354" s="7" t="n">
        <f aca="false">IF(L354="",0,IF(L354="Gold",0.5,IF(L354="Platinum",1,IF(L354="Diamond",10,IF(ISNUMBER(FIND("×",L354)),VALUE(LEFT(L354,FIND("×",L354)-1)),0)))))</f>
        <v>0</v>
      </c>
      <c r="N354" s="5" t="s">
        <v>1497</v>
      </c>
      <c r="O354" s="5" t="s">
        <v>1512</v>
      </c>
    </row>
    <row r="355" customFormat="false" ht="15" hidden="false" customHeight="false" outlineLevel="0" collapsed="false">
      <c r="A355" s="5" t="s">
        <v>1513</v>
      </c>
      <c r="B355" s="5" t="s">
        <v>186</v>
      </c>
      <c r="C355" s="5" t="s">
        <v>1514</v>
      </c>
      <c r="D355" s="5" t="s">
        <v>524</v>
      </c>
      <c r="E355" s="8" t="n">
        <f aca="false">VALUE(LEFT(D355,4))</f>
        <v>1998</v>
      </c>
      <c r="F355" s="6" t="n">
        <f aca="false">IF(LEN(D355)=10,DATE(VALUE(LEFT(D355,4)),VALUE(MID(D355,6,2)),VALUE(RIGHT(D355,2))),IF(LEN(D355)=7,DATE(VALUE(LEFT(D355,4)),VALUE(MID(D355,6,2)),15),DATE(VALUE(LEFT(D355,4)),7,1)))</f>
        <v>36095</v>
      </c>
      <c r="G355" s="6" t="n">
        <f aca="false">INDEX(Acts!$D:$D,MATCH(B355,Acts!$B:$B,0))</f>
        <v>32561</v>
      </c>
      <c r="H355" s="5" t="str">
        <f aca="false">IF(F355&gt;G355,"yes","no")</f>
        <v>yes</v>
      </c>
      <c r="I355" s="5" t="s">
        <v>218</v>
      </c>
      <c r="J355" s="5"/>
      <c r="K355" s="5" t="str">
        <f aca="false">IF(J355="","no","yes")</f>
        <v>no</v>
      </c>
      <c r="L355" s="5"/>
      <c r="M355" s="7" t="n">
        <f aca="false">IF(L355="",0,IF(L355="Gold",0.5,IF(L355="Platinum",1,IF(L355="Diamond",10,IF(ISNUMBER(FIND("×",L355)),VALUE(LEFT(L355,FIND("×",L355)-1)),0)))))</f>
        <v>0</v>
      </c>
      <c r="N355" s="5" t="s">
        <v>1497</v>
      </c>
      <c r="O355" s="5" t="s">
        <v>1515</v>
      </c>
    </row>
    <row r="356" customFormat="false" ht="15" hidden="false" customHeight="false" outlineLevel="0" collapsed="false">
      <c r="A356" s="5" t="s">
        <v>1516</v>
      </c>
      <c r="B356" s="5" t="s">
        <v>186</v>
      </c>
      <c r="C356" s="5" t="s">
        <v>1517</v>
      </c>
      <c r="D356" s="5" t="s">
        <v>1518</v>
      </c>
      <c r="E356" s="8" t="n">
        <f aca="false">VALUE(LEFT(D356,4))</f>
        <v>1999</v>
      </c>
      <c r="F356" s="6" t="n">
        <f aca="false">IF(LEN(D356)=10,DATE(VALUE(LEFT(D356,4)),VALUE(MID(D356,6,2)),VALUE(RIGHT(D356,2))),IF(LEN(D356)=7,DATE(VALUE(LEFT(D356,4)),VALUE(MID(D356,6,2)),15),DATE(VALUE(LEFT(D356,4)),7,1)))</f>
        <v>36438</v>
      </c>
      <c r="G356" s="6" t="n">
        <f aca="false">INDEX(Acts!$D:$D,MATCH(B356,Acts!$B:$B,0))</f>
        <v>32561</v>
      </c>
      <c r="H356" s="5" t="str">
        <f aca="false">IF(F356&gt;G356,"yes","no")</f>
        <v>yes</v>
      </c>
      <c r="I356" s="5" t="s">
        <v>230</v>
      </c>
      <c r="J356" s="5"/>
      <c r="K356" s="5" t="str">
        <f aca="false">IF(J356="","no","yes")</f>
        <v>no</v>
      </c>
      <c r="L356" s="5"/>
      <c r="M356" s="7" t="n">
        <f aca="false">IF(L356="",0,IF(L356="Gold",0.5,IF(L356="Platinum",1,IF(L356="Diamond",10,IF(ISNUMBER(FIND("×",L356)),VALUE(LEFT(L356,FIND("×",L356)-1)),0)))))</f>
        <v>0</v>
      </c>
      <c r="N356" s="5" t="s">
        <v>1497</v>
      </c>
      <c r="O356" s="5" t="s">
        <v>1519</v>
      </c>
    </row>
    <row r="357" customFormat="false" ht="15" hidden="false" customHeight="false" outlineLevel="0" collapsed="false">
      <c r="A357" s="5" t="s">
        <v>1520</v>
      </c>
      <c r="B357" s="5" t="s">
        <v>186</v>
      </c>
      <c r="C357" s="5" t="s">
        <v>1521</v>
      </c>
      <c r="D357" s="5" t="s">
        <v>1522</v>
      </c>
      <c r="E357" s="8" t="n">
        <f aca="false">VALUE(LEFT(D357,4))</f>
        <v>2002</v>
      </c>
      <c r="F357" s="6" t="n">
        <f aca="false">IF(LEN(D357)=10,DATE(VALUE(LEFT(D357,4)),VALUE(MID(D357,6,2)),VALUE(RIGHT(D357,2))),IF(LEN(D357)=7,DATE(VALUE(LEFT(D357,4)),VALUE(MID(D357,6,2)),15),DATE(VALUE(LEFT(D357,4)),7,1)))</f>
        <v>37397</v>
      </c>
      <c r="G357" s="6" t="n">
        <f aca="false">INDEX(Acts!$D:$D,MATCH(B357,Acts!$B:$B,0))</f>
        <v>32561</v>
      </c>
      <c r="H357" s="5" t="str">
        <f aca="false">IF(F357&gt;G357,"yes","no")</f>
        <v>yes</v>
      </c>
      <c r="I357" s="5" t="s">
        <v>218</v>
      </c>
      <c r="J357" s="5"/>
      <c r="K357" s="5" t="str">
        <f aca="false">IF(J357="","no","yes")</f>
        <v>no</v>
      </c>
      <c r="L357" s="5"/>
      <c r="M357" s="7" t="n">
        <f aca="false">IF(L357="",0,IF(L357="Gold",0.5,IF(L357="Platinum",1,IF(L357="Diamond",10,IF(ISNUMBER(FIND("×",L357)),VALUE(LEFT(L357,FIND("×",L357)-1)),0)))))</f>
        <v>0</v>
      </c>
      <c r="N357" s="5" t="s">
        <v>1497</v>
      </c>
      <c r="O357" s="5" t="s">
        <v>1523</v>
      </c>
    </row>
    <row r="358" customFormat="false" ht="15" hidden="false" customHeight="false" outlineLevel="0" collapsed="false">
      <c r="A358" s="5" t="s">
        <v>1524</v>
      </c>
      <c r="B358" s="5" t="s">
        <v>186</v>
      </c>
      <c r="C358" s="5" t="s">
        <v>1525</v>
      </c>
      <c r="D358" s="5" t="s">
        <v>1526</v>
      </c>
      <c r="E358" s="8" t="n">
        <f aca="false">VALUE(LEFT(D358,4))</f>
        <v>2006</v>
      </c>
      <c r="F358" s="6" t="n">
        <f aca="false">IF(LEN(D358)=10,DATE(VALUE(LEFT(D358,4)),VALUE(MID(D358,6,2)),VALUE(RIGHT(D358,2))),IF(LEN(D358)=7,DATE(VALUE(LEFT(D358,4)),VALUE(MID(D358,6,2)),15),DATE(VALUE(LEFT(D358,4)),7,1)))</f>
        <v>38797</v>
      </c>
      <c r="G358" s="6" t="n">
        <f aca="false">INDEX(Acts!$D:$D,MATCH(B358,Acts!$B:$B,0))</f>
        <v>32561</v>
      </c>
      <c r="H358" s="5" t="str">
        <f aca="false">IF(F358&gt;G358,"yes","no")</f>
        <v>yes</v>
      </c>
      <c r="I358" s="5" t="s">
        <v>218</v>
      </c>
      <c r="J358" s="5"/>
      <c r="K358" s="5" t="str">
        <f aca="false">IF(J358="","no","yes")</f>
        <v>no</v>
      </c>
      <c r="L358" s="5"/>
      <c r="M358" s="7" t="n">
        <f aca="false">IF(L358="",0,IF(L358="Gold",0.5,IF(L358="Platinum",1,IF(L358="Diamond",10,IF(ISNUMBER(FIND("×",L358)),VALUE(LEFT(L358,FIND("×",L358)-1)),0)))))</f>
        <v>0</v>
      </c>
      <c r="N358" s="5" t="s">
        <v>1497</v>
      </c>
      <c r="O358" s="5" t="s">
        <v>1527</v>
      </c>
    </row>
    <row r="359" customFormat="false" ht="15" hidden="false" customHeight="false" outlineLevel="0" collapsed="false">
      <c r="A359" s="5" t="s">
        <v>1528</v>
      </c>
      <c r="B359" s="5" t="s">
        <v>186</v>
      </c>
      <c r="C359" s="5" t="s">
        <v>1529</v>
      </c>
      <c r="D359" s="5" t="s">
        <v>1530</v>
      </c>
      <c r="E359" s="8" t="n">
        <f aca="false">VALUE(LEFT(D359,4))</f>
        <v>2008</v>
      </c>
      <c r="F359" s="6" t="n">
        <f aca="false">IF(LEN(D359)=10,DATE(VALUE(LEFT(D359,4)),VALUE(MID(D359,6,2)),VALUE(RIGHT(D359,2))),IF(LEN(D359)=7,DATE(VALUE(LEFT(D359,4)),VALUE(MID(D359,6,2)),15),DATE(VALUE(LEFT(D359,4)),7,1)))</f>
        <v>39721</v>
      </c>
      <c r="G359" s="6" t="n">
        <f aca="false">INDEX(Acts!$D:$D,MATCH(B359,Acts!$B:$B,0))</f>
        <v>32561</v>
      </c>
      <c r="H359" s="5" t="str">
        <f aca="false">IF(F359&gt;G359,"yes","no")</f>
        <v>yes</v>
      </c>
      <c r="I359" s="5" t="s">
        <v>218</v>
      </c>
      <c r="J359" s="5"/>
      <c r="K359" s="5" t="str">
        <f aca="false">IF(J359="","no","yes")</f>
        <v>no</v>
      </c>
      <c r="L359" s="5"/>
      <c r="M359" s="7" t="n">
        <f aca="false">IF(L359="",0,IF(L359="Gold",0.5,IF(L359="Platinum",1,IF(L359="Diamond",10,IF(ISNUMBER(FIND("×",L359)),VALUE(LEFT(L359,FIND("×",L359)-1)),0)))))</f>
        <v>0</v>
      </c>
      <c r="N359" s="5" t="s">
        <v>1497</v>
      </c>
      <c r="O359" s="5" t="s">
        <v>1531</v>
      </c>
    </row>
    <row r="360" customFormat="false" ht="15" hidden="false" customHeight="false" outlineLevel="0" collapsed="false">
      <c r="A360" s="5" t="s">
        <v>1532</v>
      </c>
      <c r="B360" s="5" t="s">
        <v>186</v>
      </c>
      <c r="C360" s="5" t="s">
        <v>1533</v>
      </c>
      <c r="D360" s="5" t="s">
        <v>1534</v>
      </c>
      <c r="E360" s="8" t="n">
        <f aca="false">VALUE(LEFT(D360,4))</f>
        <v>2010</v>
      </c>
      <c r="F360" s="6" t="n">
        <f aca="false">IF(LEN(D360)=10,DATE(VALUE(LEFT(D360,4)),VALUE(MID(D360,6,2)),VALUE(RIGHT(D360,2))),IF(LEN(D360)=7,DATE(VALUE(LEFT(D360,4)),VALUE(MID(D360,6,2)),15),DATE(VALUE(LEFT(D360,4)),7,1)))</f>
        <v>40456</v>
      </c>
      <c r="G360" s="6" t="n">
        <f aca="false">INDEX(Acts!$D:$D,MATCH(B360,Acts!$B:$B,0))</f>
        <v>32561</v>
      </c>
      <c r="H360" s="5" t="str">
        <f aca="false">IF(F360&gt;G360,"yes","no")</f>
        <v>yes</v>
      </c>
      <c r="I360" s="5" t="s">
        <v>218</v>
      </c>
      <c r="J360" s="5"/>
      <c r="K360" s="5" t="str">
        <f aca="false">IF(J360="","no","yes")</f>
        <v>no</v>
      </c>
      <c r="L360" s="5"/>
      <c r="M360" s="7" t="n">
        <f aca="false">IF(L360="",0,IF(L360="Gold",0.5,IF(L360="Platinum",1,IF(L360="Diamond",10,IF(ISNUMBER(FIND("×",L360)),VALUE(LEFT(L360,FIND("×",L360)-1)),0)))))</f>
        <v>0</v>
      </c>
      <c r="N360" s="5" t="s">
        <v>1497</v>
      </c>
      <c r="O360" s="5" t="s">
        <v>1535</v>
      </c>
    </row>
    <row r="361" customFormat="false" ht="15" hidden="false" customHeight="false" outlineLevel="0" collapsed="false">
      <c r="A361" s="5" t="s">
        <v>1536</v>
      </c>
      <c r="B361" s="5" t="s">
        <v>186</v>
      </c>
      <c r="C361" s="5" t="s">
        <v>1537</v>
      </c>
      <c r="D361" s="5" t="s">
        <v>1538</v>
      </c>
      <c r="E361" s="8" t="n">
        <f aca="false">VALUE(LEFT(D361,4))</f>
        <v>2012</v>
      </c>
      <c r="F361" s="6" t="n">
        <f aca="false">IF(LEN(D361)=10,DATE(VALUE(LEFT(D361,4)),VALUE(MID(D361,6,2)),VALUE(RIGHT(D361,2))),IF(LEN(D361)=7,DATE(VALUE(LEFT(D361,4)),VALUE(MID(D361,6,2)),15),DATE(VALUE(LEFT(D361,4)),7,1)))</f>
        <v>41091</v>
      </c>
      <c r="G361" s="6" t="n">
        <f aca="false">INDEX(Acts!$D:$D,MATCH(B361,Acts!$B:$B,0))</f>
        <v>32561</v>
      </c>
      <c r="H361" s="5" t="str">
        <f aca="false">IF(F361&gt;G361,"yes","no")</f>
        <v>yes</v>
      </c>
      <c r="I361" s="5" t="s">
        <v>218</v>
      </c>
      <c r="J361" s="5"/>
      <c r="K361" s="5" t="str">
        <f aca="false">IF(J361="","no","yes")</f>
        <v>no</v>
      </c>
      <c r="L361" s="5"/>
      <c r="M361" s="7" t="n">
        <f aca="false">IF(L361="",0,IF(L361="Gold",0.5,IF(L361="Platinum",1,IF(L361="Diamond",10,IF(ISNUMBER(FIND("×",L361)),VALUE(LEFT(L361,FIND("×",L361)-1)),0)))))</f>
        <v>0</v>
      </c>
      <c r="N361" s="5" t="s">
        <v>1497</v>
      </c>
      <c r="O361" s="5" t="s">
        <v>1539</v>
      </c>
    </row>
    <row r="362" customFormat="false" ht="15" hidden="false" customHeight="false" outlineLevel="0" collapsed="false">
      <c r="A362" s="5" t="s">
        <v>1540</v>
      </c>
      <c r="B362" s="5" t="s">
        <v>186</v>
      </c>
      <c r="C362" s="5" t="s">
        <v>1541</v>
      </c>
      <c r="D362" s="5" t="s">
        <v>1542</v>
      </c>
      <c r="E362" s="8" t="n">
        <f aca="false">VALUE(LEFT(D362,4))</f>
        <v>2016</v>
      </c>
      <c r="F362" s="6" t="n">
        <f aca="false">IF(LEN(D362)=10,DATE(VALUE(LEFT(D362,4)),VALUE(MID(D362,6,2)),VALUE(RIGHT(D362,2))),IF(LEN(D362)=7,DATE(VALUE(LEFT(D362,4)),VALUE(MID(D362,6,2)),15),DATE(VALUE(LEFT(D362,4)),7,1)))</f>
        <v>42454</v>
      </c>
      <c r="G362" s="6" t="n">
        <f aca="false">INDEX(Acts!$D:$D,MATCH(B362,Acts!$B:$B,0))</f>
        <v>32561</v>
      </c>
      <c r="H362" s="5" t="str">
        <f aca="false">IF(F362&gt;G362,"yes","no")</f>
        <v>yes</v>
      </c>
      <c r="I362" s="5" t="s">
        <v>218</v>
      </c>
      <c r="J362" s="5"/>
      <c r="K362" s="5" t="str">
        <f aca="false">IF(J362="","no","yes")</f>
        <v>no</v>
      </c>
      <c r="L362" s="5"/>
      <c r="M362" s="7" t="n">
        <f aca="false">IF(L362="",0,IF(L362="Gold",0.5,IF(L362="Platinum",1,IF(L362="Diamond",10,IF(ISNUMBER(FIND("×",L362)),VALUE(LEFT(L362,FIND("×",L362)-1)),0)))))</f>
        <v>0</v>
      </c>
      <c r="N362" s="5" t="s">
        <v>1497</v>
      </c>
      <c r="O362" s="5" t="s">
        <v>1543</v>
      </c>
    </row>
    <row r="363" customFormat="false" ht="15" hidden="false" customHeight="false" outlineLevel="0" collapsed="false">
      <c r="A363" s="5" t="s">
        <v>1544</v>
      </c>
      <c r="B363" s="5" t="s">
        <v>186</v>
      </c>
      <c r="C363" s="5" t="s">
        <v>1545</v>
      </c>
      <c r="D363" s="5" t="s">
        <v>1546</v>
      </c>
      <c r="E363" s="8" t="n">
        <f aca="false">VALUE(LEFT(D363,4))</f>
        <v>2018</v>
      </c>
      <c r="F363" s="6" t="n">
        <f aca="false">IF(LEN(D363)=10,DATE(VALUE(LEFT(D363,4)),VALUE(MID(D363,6,2)),VALUE(RIGHT(D363,2))),IF(LEN(D363)=7,DATE(VALUE(LEFT(D363,4)),VALUE(MID(D363,6,2)),15),DATE(VALUE(LEFT(D363,4)),7,1)))</f>
        <v>43217</v>
      </c>
      <c r="G363" s="6" t="n">
        <f aca="false">INDEX(Acts!$D:$D,MATCH(B363,Acts!$B:$B,0))</f>
        <v>32561</v>
      </c>
      <c r="H363" s="5" t="str">
        <f aca="false">IF(F363&gt;G363,"yes","no")</f>
        <v>yes</v>
      </c>
      <c r="I363" s="5" t="s">
        <v>218</v>
      </c>
      <c r="J363" s="5"/>
      <c r="K363" s="5" t="str">
        <f aca="false">IF(J363="","no","yes")</f>
        <v>no</v>
      </c>
      <c r="L363" s="5"/>
      <c r="M363" s="7" t="n">
        <f aca="false">IF(L363="",0,IF(L363="Gold",0.5,IF(L363="Platinum",1,IF(L363="Diamond",10,IF(ISNUMBER(FIND("×",L363)),VALUE(LEFT(L363,FIND("×",L363)-1)),0)))))</f>
        <v>0</v>
      </c>
      <c r="N363" s="5" t="s">
        <v>1497</v>
      </c>
      <c r="O363" s="5" t="s">
        <v>1547</v>
      </c>
    </row>
    <row r="364" customFormat="false" ht="15" hidden="false" customHeight="false" outlineLevel="0" collapsed="false">
      <c r="A364" s="5" t="s">
        <v>1548</v>
      </c>
      <c r="B364" s="5" t="s">
        <v>189</v>
      </c>
      <c r="C364" s="5" t="s">
        <v>1549</v>
      </c>
      <c r="D364" s="5" t="s">
        <v>1550</v>
      </c>
      <c r="E364" s="8" t="n">
        <f aca="false">VALUE(LEFT(D364,4))</f>
        <v>1987</v>
      </c>
      <c r="F364" s="6" t="n">
        <f aca="false">IF(LEN(D364)=10,DATE(VALUE(LEFT(D364,4)),VALUE(MID(D364,6,2)),VALUE(RIGHT(D364,2))),IF(LEN(D364)=7,DATE(VALUE(LEFT(D364,4)),VALUE(MID(D364,6,2)),15),DATE(VALUE(LEFT(D364,4)),7,1)))</f>
        <v>31971</v>
      </c>
      <c r="G364" s="6" t="n">
        <f aca="false">INDEX(Acts!$D:$D,MATCH(B364,Acts!$B:$B,0))</f>
        <v>32204</v>
      </c>
      <c r="H364" s="5" t="str">
        <f aca="false">IF(F364&gt;G364,"yes","no")</f>
        <v>no</v>
      </c>
      <c r="I364" s="5" t="s">
        <v>218</v>
      </c>
      <c r="J364" s="5" t="n">
        <v>4</v>
      </c>
      <c r="K364" s="5" t="str">
        <f aca="false">IF(J364="","no","yes")</f>
        <v>yes</v>
      </c>
      <c r="L364" s="5" t="s">
        <v>510</v>
      </c>
      <c r="M364" s="7" t="n">
        <f aca="false">IF(L364="",0,IF(L364="Gold",0.5,IF(L364="Platinum",1,IF(L364="Diamond",10,IF(ISNUMBER(FIND("×",L364)),VALUE(LEFT(L364,FIND("×",L364)-1)),0)))))</f>
        <v>2</v>
      </c>
      <c r="N364" s="5" t="s">
        <v>1551</v>
      </c>
      <c r="O364" s="5"/>
    </row>
    <row r="365" customFormat="false" ht="15" hidden="false" customHeight="false" outlineLevel="0" collapsed="false">
      <c r="A365" s="5" t="s">
        <v>1552</v>
      </c>
      <c r="B365" s="5" t="s">
        <v>189</v>
      </c>
      <c r="C365" s="5" t="s">
        <v>1553</v>
      </c>
      <c r="D365" s="5" t="s">
        <v>1554</v>
      </c>
      <c r="E365" s="8" t="n">
        <f aca="false">VALUE(LEFT(D365,4))</f>
        <v>1989</v>
      </c>
      <c r="F365" s="6" t="n">
        <f aca="false">IF(LEN(D365)=10,DATE(VALUE(LEFT(D365,4)),VALUE(MID(D365,6,2)),VALUE(RIGHT(D365,2))),IF(LEN(D365)=7,DATE(VALUE(LEFT(D365,4)),VALUE(MID(D365,6,2)),15),DATE(VALUE(LEFT(D365,4)),7,1)))</f>
        <v>32804</v>
      </c>
      <c r="G365" s="6" t="n">
        <f aca="false">INDEX(Acts!$D:$D,MATCH(B365,Acts!$B:$B,0))</f>
        <v>32204</v>
      </c>
      <c r="H365" s="5" t="str">
        <f aca="false">IF(F365&gt;G365,"yes","no")</f>
        <v>yes</v>
      </c>
      <c r="I365" s="5" t="s">
        <v>218</v>
      </c>
      <c r="J365" s="5" t="n">
        <v>61</v>
      </c>
      <c r="K365" s="5" t="str">
        <f aca="false">IF(J365="","no","yes")</f>
        <v>yes</v>
      </c>
      <c r="L365" s="5"/>
      <c r="M365" s="7" t="n">
        <f aca="false">IF(L365="",0,IF(L365="Gold",0.5,IF(L365="Platinum",1,IF(L365="Diamond",10,IF(ISNUMBER(FIND("×",L365)),VALUE(LEFT(L365,FIND("×",L365)-1)),0)))))</f>
        <v>0</v>
      </c>
      <c r="N365" s="5" t="s">
        <v>1551</v>
      </c>
      <c r="O365" s="5"/>
    </row>
    <row r="366" customFormat="false" ht="15" hidden="false" customHeight="false" outlineLevel="0" collapsed="false">
      <c r="A366" s="5" t="s">
        <v>1555</v>
      </c>
      <c r="B366" s="5" t="s">
        <v>189</v>
      </c>
      <c r="C366" s="5" t="s">
        <v>1556</v>
      </c>
      <c r="D366" s="5" t="s">
        <v>1557</v>
      </c>
      <c r="E366" s="8" t="n">
        <f aca="false">VALUE(LEFT(D366,4))</f>
        <v>1993</v>
      </c>
      <c r="F366" s="6" t="n">
        <f aca="false">IF(LEN(D366)=10,DATE(VALUE(LEFT(D366,4)),VALUE(MID(D366,6,2)),VALUE(RIGHT(D366,2))),IF(LEN(D366)=7,DATE(VALUE(LEFT(D366,4)),VALUE(MID(D366,6,2)),15),DATE(VALUE(LEFT(D366,4)),7,1)))</f>
        <v>34104</v>
      </c>
      <c r="G366" s="6" t="n">
        <f aca="false">INDEX(Acts!$D:$D,MATCH(B366,Acts!$B:$B,0))</f>
        <v>32204</v>
      </c>
      <c r="H366" s="5" t="str">
        <f aca="false">IF(F366&gt;G366,"yes","no")</f>
        <v>yes</v>
      </c>
      <c r="I366" s="5" t="s">
        <v>218</v>
      </c>
      <c r="J366" s="5" t="n">
        <v>119</v>
      </c>
      <c r="K366" s="5" t="str">
        <f aca="false">IF(J366="","no","yes")</f>
        <v>yes</v>
      </c>
      <c r="L366" s="5"/>
      <c r="M366" s="7" t="n">
        <f aca="false">IF(L366="",0,IF(L366="Gold",0.5,IF(L366="Platinum",1,IF(L366="Diamond",10,IF(ISNUMBER(FIND("×",L366)),VALUE(LEFT(L366,FIND("×",L366)-1)),0)))))</f>
        <v>0</v>
      </c>
      <c r="N366" s="5" t="s">
        <v>1551</v>
      </c>
      <c r="O366" s="5"/>
    </row>
    <row r="367" customFormat="false" ht="15" hidden="false" customHeight="false" outlineLevel="0" collapsed="false">
      <c r="A367" s="5" t="s">
        <v>1558</v>
      </c>
      <c r="B367" s="5" t="s">
        <v>189</v>
      </c>
      <c r="C367" s="5" t="s">
        <v>1559</v>
      </c>
      <c r="D367" s="5" t="s">
        <v>1560</v>
      </c>
      <c r="E367" s="8" t="n">
        <f aca="false">VALUE(LEFT(D367,4))</f>
        <v>1995</v>
      </c>
      <c r="F367" s="6" t="n">
        <f aca="false">IF(LEN(D367)=10,DATE(VALUE(LEFT(D367,4)),VALUE(MID(D367,6,2)),VALUE(RIGHT(D367,2))),IF(LEN(D367)=7,DATE(VALUE(LEFT(D367,4)),VALUE(MID(D367,6,2)),15),DATE(VALUE(LEFT(D367,4)),7,1)))</f>
        <v>34807</v>
      </c>
      <c r="G367" s="6" t="n">
        <f aca="false">INDEX(Acts!$D:$D,MATCH(B367,Acts!$B:$B,0))</f>
        <v>32204</v>
      </c>
      <c r="H367" s="5" t="str">
        <f aca="false">IF(F367&gt;G367,"yes","no")</f>
        <v>yes</v>
      </c>
      <c r="I367" s="5" t="s">
        <v>218</v>
      </c>
      <c r="J367" s="5" t="n">
        <v>178</v>
      </c>
      <c r="K367" s="5" t="str">
        <f aca="false">IF(J367="","no","yes")</f>
        <v>yes</v>
      </c>
      <c r="L367" s="5"/>
      <c r="M367" s="7" t="n">
        <f aca="false">IF(L367="",0,IF(L367="Gold",0.5,IF(L367="Platinum",1,IF(L367="Diamond",10,IF(ISNUMBER(FIND("×",L367)),VALUE(LEFT(L367,FIND("×",L367)-1)),0)))))</f>
        <v>0</v>
      </c>
      <c r="N367" s="5" t="s">
        <v>1551</v>
      </c>
      <c r="O367" s="5"/>
    </row>
    <row r="368" customFormat="false" ht="15" hidden="false" customHeight="false" outlineLevel="0" collapsed="false">
      <c r="A368" s="5" t="s">
        <v>1561</v>
      </c>
      <c r="B368" s="5" t="s">
        <v>189</v>
      </c>
      <c r="C368" s="5" t="s">
        <v>1562</v>
      </c>
      <c r="D368" s="5" t="s">
        <v>1563</v>
      </c>
      <c r="E368" s="8" t="n">
        <f aca="false">VALUE(LEFT(D368,4))</f>
        <v>2001</v>
      </c>
      <c r="F368" s="6" t="n">
        <f aca="false">IF(LEN(D368)=10,DATE(VALUE(LEFT(D368,4)),VALUE(MID(D368,6,2)),VALUE(RIGHT(D368,2))),IF(LEN(D368)=7,DATE(VALUE(LEFT(D368,4)),VALUE(MID(D368,6,2)),15),DATE(VALUE(LEFT(D368,4)),7,1)))</f>
        <v>37175</v>
      </c>
      <c r="G368" s="6" t="n">
        <f aca="false">INDEX(Acts!$D:$D,MATCH(B368,Acts!$B:$B,0))</f>
        <v>32204</v>
      </c>
      <c r="H368" s="5" t="str">
        <f aca="false">IF(F368&gt;G368,"yes","no")</f>
        <v>yes</v>
      </c>
      <c r="I368" s="5" t="s">
        <v>230</v>
      </c>
      <c r="J368" s="5"/>
      <c r="K368" s="5" t="str">
        <f aca="false">IF(J368="","no","yes")</f>
        <v>no</v>
      </c>
      <c r="L368" s="5"/>
      <c r="M368" s="7" t="n">
        <f aca="false">IF(L368="",0,IF(L368="Gold",0.5,IF(L368="Platinum",1,IF(L368="Diamond",10,IF(ISNUMBER(FIND("×",L368)),VALUE(LEFT(L368,FIND("×",L368)-1)),0)))))</f>
        <v>0</v>
      </c>
      <c r="N368" s="5" t="s">
        <v>1551</v>
      </c>
      <c r="O368" s="5" t="s">
        <v>1564</v>
      </c>
    </row>
    <row r="369" customFormat="false" ht="15" hidden="false" customHeight="false" outlineLevel="0" collapsed="false">
      <c r="A369" s="5" t="s">
        <v>1565</v>
      </c>
      <c r="B369" s="5" t="s">
        <v>189</v>
      </c>
      <c r="C369" s="5" t="s">
        <v>1566</v>
      </c>
      <c r="D369" s="5" t="s">
        <v>1567</v>
      </c>
      <c r="E369" s="8" t="n">
        <f aca="false">VALUE(LEFT(D369,4))</f>
        <v>2005</v>
      </c>
      <c r="F369" s="6" t="n">
        <f aca="false">IF(LEN(D369)=10,DATE(VALUE(LEFT(D369,4)),VALUE(MID(D369,6,2)),VALUE(RIGHT(D369,2))),IF(LEN(D369)=7,DATE(VALUE(LEFT(D369,4)),VALUE(MID(D369,6,2)),15),DATE(VALUE(LEFT(D369,4)),7,1)))</f>
        <v>38633</v>
      </c>
      <c r="G369" s="6" t="n">
        <f aca="false">INDEX(Acts!$D:$D,MATCH(B369,Acts!$B:$B,0))</f>
        <v>32204</v>
      </c>
      <c r="H369" s="5" t="str">
        <f aca="false">IF(F369&gt;G369,"yes","no")</f>
        <v>yes</v>
      </c>
      <c r="I369" s="5" t="s">
        <v>230</v>
      </c>
      <c r="J369" s="5"/>
      <c r="K369" s="5" t="str">
        <f aca="false">IF(J369="","no","yes")</f>
        <v>no</v>
      </c>
      <c r="L369" s="5"/>
      <c r="M369" s="7" t="n">
        <f aca="false">IF(L369="",0,IF(L369="Gold",0.5,IF(L369="Platinum",1,IF(L369="Diamond",10,IF(ISNUMBER(FIND("×",L369)),VALUE(LEFT(L369,FIND("×",L369)-1)),0)))))</f>
        <v>0</v>
      </c>
      <c r="N369" s="5" t="s">
        <v>1551</v>
      </c>
      <c r="O369" s="5" t="s">
        <v>1564</v>
      </c>
    </row>
    <row r="370" customFormat="false" ht="15" hidden="false" customHeight="false" outlineLevel="0" collapsed="false">
      <c r="A370" s="5" t="s">
        <v>1568</v>
      </c>
      <c r="B370" s="5" t="s">
        <v>189</v>
      </c>
      <c r="C370" s="5" t="s">
        <v>1569</v>
      </c>
      <c r="D370" s="5" t="s">
        <v>1570</v>
      </c>
      <c r="E370" s="8" t="n">
        <f aca="false">VALUE(LEFT(D370,4))</f>
        <v>2006</v>
      </c>
      <c r="F370" s="6" t="n">
        <f aca="false">IF(LEN(D370)=10,DATE(VALUE(LEFT(D370,4)),VALUE(MID(D370,6,2)),VALUE(RIGHT(D370,2))),IF(LEN(D370)=7,DATE(VALUE(LEFT(D370,4)),VALUE(MID(D370,6,2)),15),DATE(VALUE(LEFT(D370,4)),7,1)))</f>
        <v>38836</v>
      </c>
      <c r="G370" s="6" t="n">
        <f aca="false">INDEX(Acts!$D:$D,MATCH(B370,Acts!$B:$B,0))</f>
        <v>32204</v>
      </c>
      <c r="H370" s="5" t="str">
        <f aca="false">IF(F370&gt;G370,"yes","no")</f>
        <v>yes</v>
      </c>
      <c r="I370" s="5" t="s">
        <v>230</v>
      </c>
      <c r="J370" s="5"/>
      <c r="K370" s="5" t="str">
        <f aca="false">IF(J370="","no","yes")</f>
        <v>no</v>
      </c>
      <c r="L370" s="5"/>
      <c r="M370" s="7" t="n">
        <f aca="false">IF(L370="",0,IF(L370="Gold",0.5,IF(L370="Platinum",1,IF(L370="Diamond",10,IF(ISNUMBER(FIND("×",L370)),VALUE(LEFT(L370,FIND("×",L370)-1)),0)))))</f>
        <v>0</v>
      </c>
      <c r="N370" s="5" t="s">
        <v>1551</v>
      </c>
      <c r="O370" s="5" t="s">
        <v>1564</v>
      </c>
    </row>
    <row r="371" customFormat="false" ht="15" hidden="false" customHeight="false" outlineLevel="0" collapsed="false">
      <c r="A371" s="5" t="s">
        <v>1571</v>
      </c>
      <c r="B371" s="5" t="s">
        <v>189</v>
      </c>
      <c r="C371" s="5" t="s">
        <v>1572</v>
      </c>
      <c r="D371" s="5" t="s">
        <v>1573</v>
      </c>
      <c r="E371" s="8" t="n">
        <f aca="false">VALUE(LEFT(D371,4))</f>
        <v>2009</v>
      </c>
      <c r="F371" s="6" t="n">
        <f aca="false">IF(LEN(D371)=10,DATE(VALUE(LEFT(D371,4)),VALUE(MID(D371,6,2)),VALUE(RIGHT(D371,2))),IF(LEN(D371)=7,DATE(VALUE(LEFT(D371,4)),VALUE(MID(D371,6,2)),15),DATE(VALUE(LEFT(D371,4)),7,1)))</f>
        <v>39953</v>
      </c>
      <c r="G371" s="6" t="n">
        <f aca="false">INDEX(Acts!$D:$D,MATCH(B371,Acts!$B:$B,0))</f>
        <v>32204</v>
      </c>
      <c r="H371" s="5" t="str">
        <f aca="false">IF(F371&gt;G371,"yes","no")</f>
        <v>yes</v>
      </c>
      <c r="I371" s="5" t="s">
        <v>230</v>
      </c>
      <c r="J371" s="5"/>
      <c r="K371" s="5" t="str">
        <f aca="false">IF(J371="","no","yes")</f>
        <v>no</v>
      </c>
      <c r="L371" s="5"/>
      <c r="M371" s="7" t="n">
        <f aca="false">IF(L371="",0,IF(L371="Gold",0.5,IF(L371="Platinum",1,IF(L371="Diamond",10,IF(ISNUMBER(FIND("×",L371)),VALUE(LEFT(L371,FIND("×",L371)-1)),0)))))</f>
        <v>0</v>
      </c>
      <c r="N371" s="5" t="s">
        <v>1551</v>
      </c>
      <c r="O371" s="5" t="s">
        <v>1564</v>
      </c>
    </row>
    <row r="372" customFormat="false" ht="15" hidden="false" customHeight="false" outlineLevel="0" collapsed="false">
      <c r="A372" s="5" t="s">
        <v>1574</v>
      </c>
      <c r="B372" s="5" t="s">
        <v>189</v>
      </c>
      <c r="C372" s="5" t="s">
        <v>1575</v>
      </c>
      <c r="D372" s="5" t="s">
        <v>1576</v>
      </c>
      <c r="E372" s="8" t="n">
        <f aca="false">VALUE(LEFT(D372,4))</f>
        <v>2011</v>
      </c>
      <c r="F372" s="6" t="n">
        <f aca="false">IF(LEN(D372)=10,DATE(VALUE(LEFT(D372,4)),VALUE(MID(D372,6,2)),VALUE(RIGHT(D372,2))),IF(LEN(D372)=7,DATE(VALUE(LEFT(D372,4)),VALUE(MID(D372,6,2)),15),DATE(VALUE(LEFT(D372,4)),7,1)))</f>
        <v>40617</v>
      </c>
      <c r="G372" s="6" t="n">
        <f aca="false">INDEX(Acts!$D:$D,MATCH(B372,Acts!$B:$B,0))</f>
        <v>32204</v>
      </c>
      <c r="H372" s="5" t="str">
        <f aca="false">IF(F372&gt;G372,"yes","no")</f>
        <v>yes</v>
      </c>
      <c r="I372" s="5" t="s">
        <v>230</v>
      </c>
      <c r="J372" s="5"/>
      <c r="K372" s="5" t="str">
        <f aca="false">IF(J372="","no","yes")</f>
        <v>no</v>
      </c>
      <c r="L372" s="5"/>
      <c r="M372" s="7" t="n">
        <f aca="false">IF(L372="",0,IF(L372="Gold",0.5,IF(L372="Platinum",1,IF(L372="Diamond",10,IF(ISNUMBER(FIND("×",L372)),VALUE(LEFT(L372,FIND("×",L372)-1)),0)))))</f>
        <v>0</v>
      </c>
      <c r="N372" s="5" t="s">
        <v>1551</v>
      </c>
      <c r="O372" s="5" t="s">
        <v>1564</v>
      </c>
    </row>
    <row r="373" customFormat="false" ht="15" hidden="false" customHeight="false" outlineLevel="0" collapsed="false">
      <c r="A373" s="5" t="s">
        <v>1577</v>
      </c>
      <c r="B373" s="5" t="s">
        <v>189</v>
      </c>
      <c r="C373" s="5" t="s">
        <v>1578</v>
      </c>
      <c r="D373" s="5" t="s">
        <v>1579</v>
      </c>
      <c r="E373" s="8" t="n">
        <f aca="false">VALUE(LEFT(D373,4))</f>
        <v>2013</v>
      </c>
      <c r="F373" s="6" t="n">
        <f aca="false">IF(LEN(D373)=10,DATE(VALUE(LEFT(D373,4)),VALUE(MID(D373,6,2)),VALUE(RIGHT(D373,2))),IF(LEN(D373)=7,DATE(VALUE(LEFT(D373,4)),VALUE(MID(D373,6,2)),15),DATE(VALUE(LEFT(D373,4)),7,1)))</f>
        <v>41334</v>
      </c>
      <c r="G373" s="6" t="n">
        <f aca="false">INDEX(Acts!$D:$D,MATCH(B373,Acts!$B:$B,0))</f>
        <v>32204</v>
      </c>
      <c r="H373" s="5" t="str">
        <f aca="false">IF(F373&gt;G373,"yes","no")</f>
        <v>yes</v>
      </c>
      <c r="I373" s="5" t="s">
        <v>230</v>
      </c>
      <c r="J373" s="5"/>
      <c r="K373" s="5" t="str">
        <f aca="false">IF(J373="","no","yes")</f>
        <v>no</v>
      </c>
      <c r="L373" s="5"/>
      <c r="M373" s="7" t="n">
        <f aca="false">IF(L373="",0,IF(L373="Gold",0.5,IF(L373="Platinum",1,IF(L373="Diamond",10,IF(ISNUMBER(FIND("×",L373)),VALUE(LEFT(L373,FIND("×",L373)-1)),0)))))</f>
        <v>0</v>
      </c>
      <c r="N373" s="5" t="s">
        <v>1551</v>
      </c>
      <c r="O373" s="5" t="s">
        <v>1564</v>
      </c>
    </row>
    <row r="374" customFormat="false" ht="15" hidden="false" customHeight="false" outlineLevel="0" collapsed="false">
      <c r="A374" s="5" t="s">
        <v>1580</v>
      </c>
      <c r="B374" s="5" t="s">
        <v>189</v>
      </c>
      <c r="C374" s="5" t="s">
        <v>1581</v>
      </c>
      <c r="D374" s="5" t="s">
        <v>1582</v>
      </c>
      <c r="E374" s="8" t="n">
        <f aca="false">VALUE(LEFT(D374,4))</f>
        <v>2015</v>
      </c>
      <c r="F374" s="6" t="n">
        <f aca="false">IF(LEN(D374)=10,DATE(VALUE(LEFT(D374,4)),VALUE(MID(D374,6,2)),VALUE(RIGHT(D374,2))),IF(LEN(D374)=7,DATE(VALUE(LEFT(D374,4)),VALUE(MID(D374,6,2)),15),DATE(VALUE(LEFT(D374,4)),7,1)))</f>
        <v>42286</v>
      </c>
      <c r="G374" s="6" t="n">
        <f aca="false">INDEX(Acts!$D:$D,MATCH(B374,Acts!$B:$B,0))</f>
        <v>32204</v>
      </c>
      <c r="H374" s="5" t="str">
        <f aca="false">IF(F374&gt;G374,"yes","no")</f>
        <v>yes</v>
      </c>
      <c r="I374" s="5" t="s">
        <v>230</v>
      </c>
      <c r="J374" s="5"/>
      <c r="K374" s="5" t="str">
        <f aca="false">IF(J374="","no","yes")</f>
        <v>no</v>
      </c>
      <c r="L374" s="5"/>
      <c r="M374" s="7" t="n">
        <f aca="false">IF(L374="",0,IF(L374="Gold",0.5,IF(L374="Platinum",1,IF(L374="Diamond",10,IF(ISNUMBER(FIND("×",L374)),VALUE(LEFT(L374,FIND("×",L374)-1)),0)))))</f>
        <v>0</v>
      </c>
      <c r="N374" s="5" t="s">
        <v>1551</v>
      </c>
      <c r="O374" s="5" t="s">
        <v>1564</v>
      </c>
    </row>
    <row r="375" customFormat="false" ht="15" hidden="false" customHeight="false" outlineLevel="0" collapsed="false">
      <c r="A375" s="5" t="s">
        <v>1583</v>
      </c>
      <c r="B375" s="5" t="s">
        <v>189</v>
      </c>
      <c r="C375" s="5" t="s">
        <v>1584</v>
      </c>
      <c r="D375" s="5" t="s">
        <v>1585</v>
      </c>
      <c r="E375" s="8" t="n">
        <f aca="false">VALUE(LEFT(D375,4))</f>
        <v>2017</v>
      </c>
      <c r="F375" s="6" t="n">
        <f aca="false">IF(LEN(D375)=10,DATE(VALUE(LEFT(D375,4)),VALUE(MID(D375,6,2)),VALUE(RIGHT(D375,2))),IF(LEN(D375)=7,DATE(VALUE(LEFT(D375,4)),VALUE(MID(D375,6,2)),15),DATE(VALUE(LEFT(D375,4)),7,1)))</f>
        <v>43023</v>
      </c>
      <c r="G375" s="6" t="n">
        <f aca="false">INDEX(Acts!$D:$D,MATCH(B375,Acts!$B:$B,0))</f>
        <v>32204</v>
      </c>
      <c r="H375" s="5" t="str">
        <f aca="false">IF(F375&gt;G375,"yes","no")</f>
        <v>yes</v>
      </c>
      <c r="I375" s="5" t="s">
        <v>230</v>
      </c>
      <c r="J375" s="5"/>
      <c r="K375" s="5" t="str">
        <f aca="false">IF(J375="","no","yes")</f>
        <v>no</v>
      </c>
      <c r="L375" s="5"/>
      <c r="M375" s="7" t="n">
        <f aca="false">IF(L375="",0,IF(L375="Gold",0.5,IF(L375="Platinum",1,IF(L375="Diamond",10,IF(ISNUMBER(FIND("×",L375)),VALUE(LEFT(L375,FIND("×",L375)-1)),0)))))</f>
        <v>0</v>
      </c>
      <c r="N375" s="5" t="s">
        <v>1551</v>
      </c>
      <c r="O375" s="5" t="s">
        <v>1564</v>
      </c>
    </row>
    <row r="376" customFormat="false" ht="15" hidden="false" customHeight="false" outlineLevel="0" collapsed="false">
      <c r="A376" s="5" t="s">
        <v>1586</v>
      </c>
      <c r="B376" s="5" t="s">
        <v>189</v>
      </c>
      <c r="C376" s="5" t="s">
        <v>1587</v>
      </c>
      <c r="D376" s="5" t="s">
        <v>1588</v>
      </c>
      <c r="E376" s="8" t="n">
        <f aca="false">VALUE(LEFT(D376,4))</f>
        <v>2021</v>
      </c>
      <c r="F376" s="6" t="n">
        <f aca="false">IF(LEN(D376)=10,DATE(VALUE(LEFT(D376,4)),VALUE(MID(D376,6,2)),VALUE(RIGHT(D376,2))),IF(LEN(D376)=7,DATE(VALUE(LEFT(D376,4)),VALUE(MID(D376,6,2)),15),DATE(VALUE(LEFT(D376,4)),7,1)))</f>
        <v>44270</v>
      </c>
      <c r="G376" s="6" t="n">
        <f aca="false">INDEX(Acts!$D:$D,MATCH(B376,Acts!$B:$B,0))</f>
        <v>32204</v>
      </c>
      <c r="H376" s="5" t="str">
        <f aca="false">IF(F376&gt;G376,"yes","no")</f>
        <v>yes</v>
      </c>
      <c r="I376" s="5" t="s">
        <v>230</v>
      </c>
      <c r="J376" s="5"/>
      <c r="K376" s="5" t="str">
        <f aca="false">IF(J376="","no","yes")</f>
        <v>no</v>
      </c>
      <c r="L376" s="5"/>
      <c r="M376" s="7" t="n">
        <f aca="false">IF(L376="",0,IF(L376="Gold",0.5,IF(L376="Platinum",1,IF(L376="Diamond",10,IF(ISNUMBER(FIND("×",L376)),VALUE(LEFT(L376,FIND("×",L376)-1)),0)))))</f>
        <v>0</v>
      </c>
      <c r="N376" s="5" t="s">
        <v>1551</v>
      </c>
      <c r="O376" s="5" t="s">
        <v>1564</v>
      </c>
    </row>
    <row r="377" customFormat="false" ht="15" hidden="false" customHeight="false" outlineLevel="0" collapsed="false">
      <c r="A377" s="5" t="s">
        <v>1589</v>
      </c>
      <c r="B377" s="5" t="s">
        <v>189</v>
      </c>
      <c r="C377" s="5" t="s">
        <v>1590</v>
      </c>
      <c r="D377" s="5" t="s">
        <v>1591</v>
      </c>
      <c r="E377" s="8" t="n">
        <f aca="false">VALUE(LEFT(D377,4))</f>
        <v>2024</v>
      </c>
      <c r="F377" s="6" t="n">
        <f aca="false">IF(LEN(D377)=10,DATE(VALUE(LEFT(D377,4)),VALUE(MID(D377,6,2)),VALUE(RIGHT(D377,2))),IF(LEN(D377)=7,DATE(VALUE(LEFT(D377,4)),VALUE(MID(D377,6,2)),15),DATE(VALUE(LEFT(D377,4)),7,1)))</f>
        <v>45423</v>
      </c>
      <c r="G377" s="6" t="n">
        <f aca="false">INDEX(Acts!$D:$D,MATCH(B377,Acts!$B:$B,0))</f>
        <v>32204</v>
      </c>
      <c r="H377" s="5" t="str">
        <f aca="false">IF(F377&gt;G377,"yes","no")</f>
        <v>yes</v>
      </c>
      <c r="I377" s="5" t="s">
        <v>230</v>
      </c>
      <c r="J377" s="5"/>
      <c r="K377" s="5" t="str">
        <f aca="false">IF(J377="","no","yes")</f>
        <v>no</v>
      </c>
      <c r="L377" s="5"/>
      <c r="M377" s="7" t="n">
        <f aca="false">IF(L377="",0,IF(L377="Gold",0.5,IF(L377="Platinum",1,IF(L377="Diamond",10,IF(ISNUMBER(FIND("×",L377)),VALUE(LEFT(L377,FIND("×",L377)-1)),0)))))</f>
        <v>0</v>
      </c>
      <c r="N377" s="5" t="s">
        <v>1551</v>
      </c>
      <c r="O377" s="5" t="s">
        <v>1564</v>
      </c>
    </row>
    <row r="378" customFormat="false" ht="15" hidden="false" customHeight="false" outlineLevel="0" collapsed="false">
      <c r="A378" s="5" t="s">
        <v>1592</v>
      </c>
      <c r="B378" s="5" t="s">
        <v>192</v>
      </c>
      <c r="C378" s="5" t="s">
        <v>1593</v>
      </c>
      <c r="D378" s="5" t="s">
        <v>1594</v>
      </c>
      <c r="E378" s="8" t="n">
        <f aca="false">VALUE(LEFT(D378,4))</f>
        <v>1986</v>
      </c>
      <c r="F378" s="6" t="n">
        <f aca="false">IF(LEN(D378)=10,DATE(VALUE(LEFT(D378,4)),VALUE(MID(D378,6,2)),VALUE(RIGHT(D378,2))),IF(LEN(D378)=7,DATE(VALUE(LEFT(D378,4)),VALUE(MID(D378,6,2)),15),DATE(VALUE(LEFT(D378,4)),7,1)))</f>
        <v>31700</v>
      </c>
      <c r="G378" s="6" t="n">
        <f aca="false">INDEX(Acts!$D:$D,MATCH(B378,Acts!$B:$B,0))</f>
        <v>31832</v>
      </c>
      <c r="H378" s="5" t="str">
        <f aca="false">IF(F378&gt;G378,"yes","no")</f>
        <v>no</v>
      </c>
      <c r="I378" s="5" t="s">
        <v>218</v>
      </c>
      <c r="J378" s="5" t="n">
        <v>50</v>
      </c>
      <c r="K378" s="5" t="str">
        <f aca="false">IF(J378="","no","yes")</f>
        <v>yes</v>
      </c>
      <c r="L378" s="5"/>
      <c r="M378" s="7" t="n">
        <f aca="false">IF(L378="",0,IF(L378="Gold",0.5,IF(L378="Platinum",1,IF(L378="Diamond",10,IF(ISNUMBER(FIND("×",L378)),VALUE(LEFT(L378,FIND("×",L378)-1)),0)))))</f>
        <v>0</v>
      </c>
      <c r="N378" s="5" t="s">
        <v>1595</v>
      </c>
      <c r="O378" s="5"/>
    </row>
    <row r="379" customFormat="false" ht="15" hidden="false" customHeight="false" outlineLevel="0" collapsed="false">
      <c r="A379" s="5" t="s">
        <v>1596</v>
      </c>
      <c r="B379" s="5" t="s">
        <v>192</v>
      </c>
      <c r="C379" s="5" t="s">
        <v>1597</v>
      </c>
      <c r="D379" s="5" t="s">
        <v>1496</v>
      </c>
      <c r="E379" s="8" t="n">
        <f aca="false">VALUE(LEFT(D379,4))</f>
        <v>1988</v>
      </c>
      <c r="F379" s="6" t="n">
        <f aca="false">IF(LEN(D379)=10,DATE(VALUE(LEFT(D379,4)),VALUE(MID(D379,6,2)),VALUE(RIGHT(D379,2))),IF(LEN(D379)=7,DATE(VALUE(LEFT(D379,4)),VALUE(MID(D379,6,2)),15),DATE(VALUE(LEFT(D379,4)),7,1)))</f>
        <v>32325</v>
      </c>
      <c r="G379" s="6" t="n">
        <f aca="false">INDEX(Acts!$D:$D,MATCH(B379,Acts!$B:$B,0))</f>
        <v>31832</v>
      </c>
      <c r="H379" s="5" t="str">
        <f aca="false">IF(F379&gt;G379,"yes","no")</f>
        <v>yes</v>
      </c>
      <c r="I379" s="5" t="s">
        <v>218</v>
      </c>
      <c r="J379" s="5" t="n">
        <v>107</v>
      </c>
      <c r="K379" s="5" t="str">
        <f aca="false">IF(J379="","no","yes")</f>
        <v>yes</v>
      </c>
      <c r="L379" s="5"/>
      <c r="M379" s="7" t="n">
        <f aca="false">IF(L379="",0,IF(L379="Gold",0.5,IF(L379="Platinum",1,IF(L379="Diamond",10,IF(ISNUMBER(FIND("×",L379)),VALUE(LEFT(L379,FIND("×",L379)-1)),0)))))</f>
        <v>0</v>
      </c>
      <c r="N379" s="5" t="s">
        <v>1595</v>
      </c>
      <c r="O379" s="5"/>
    </row>
    <row r="380" customFormat="false" ht="15" hidden="false" customHeight="false" outlineLevel="0" collapsed="false">
      <c r="A380" s="5" t="s">
        <v>1598</v>
      </c>
      <c r="B380" s="5" t="s">
        <v>192</v>
      </c>
      <c r="C380" s="5" t="s">
        <v>1599</v>
      </c>
      <c r="D380" s="5" t="s">
        <v>1245</v>
      </c>
      <c r="E380" s="8" t="n">
        <f aca="false">VALUE(LEFT(D380,4))</f>
        <v>1989</v>
      </c>
      <c r="F380" s="6" t="n">
        <f aca="false">IF(LEN(D380)=10,DATE(VALUE(LEFT(D380,4)),VALUE(MID(D380,6,2)),VALUE(RIGHT(D380,2))),IF(LEN(D380)=7,DATE(VALUE(LEFT(D380,4)),VALUE(MID(D380,6,2)),15),DATE(VALUE(LEFT(D380,4)),7,1)))</f>
        <v>32690</v>
      </c>
      <c r="G380" s="6" t="n">
        <f aca="false">INDEX(Acts!$D:$D,MATCH(B380,Acts!$B:$B,0))</f>
        <v>31832</v>
      </c>
      <c r="H380" s="5" t="str">
        <f aca="false">IF(F380&gt;G380,"yes","no")</f>
        <v>yes</v>
      </c>
      <c r="I380" s="5" t="s">
        <v>230</v>
      </c>
      <c r="J380" s="5"/>
      <c r="K380" s="5" t="str">
        <f aca="false">IF(J380="","no","yes")</f>
        <v>no</v>
      </c>
      <c r="L380" s="5"/>
      <c r="M380" s="7" t="n">
        <f aca="false">IF(L380="",0,IF(L380="Gold",0.5,IF(L380="Platinum",1,IF(L380="Diamond",10,IF(ISNUMBER(FIND("×",L380)),VALUE(LEFT(L380,FIND("×",L380)-1)),0)))))</f>
        <v>0</v>
      </c>
      <c r="N380" s="5" t="s">
        <v>1595</v>
      </c>
      <c r="O380" s="5" t="s">
        <v>1600</v>
      </c>
    </row>
    <row r="381" customFormat="false" ht="15" hidden="false" customHeight="false" outlineLevel="0" collapsed="false">
      <c r="A381" s="5" t="s">
        <v>1601</v>
      </c>
      <c r="B381" s="5" t="s">
        <v>192</v>
      </c>
      <c r="C381" s="5" t="s">
        <v>1602</v>
      </c>
      <c r="D381" s="5" t="s">
        <v>933</v>
      </c>
      <c r="E381" s="8" t="n">
        <f aca="false">VALUE(LEFT(D381,4))</f>
        <v>1991</v>
      </c>
      <c r="F381" s="6" t="n">
        <f aca="false">IF(LEN(D381)=10,DATE(VALUE(LEFT(D381,4)),VALUE(MID(D381,6,2)),VALUE(RIGHT(D381,2))),IF(LEN(D381)=7,DATE(VALUE(LEFT(D381,4)),VALUE(MID(D381,6,2)),15),DATE(VALUE(LEFT(D381,4)),7,1)))</f>
        <v>33420</v>
      </c>
      <c r="G381" s="6" t="n">
        <f aca="false">INDEX(Acts!$D:$D,MATCH(B381,Acts!$B:$B,0))</f>
        <v>31832</v>
      </c>
      <c r="H381" s="5" t="str">
        <f aca="false">IF(F381&gt;G381,"yes","no")</f>
        <v>yes</v>
      </c>
      <c r="I381" s="5" t="s">
        <v>230</v>
      </c>
      <c r="J381" s="5"/>
      <c r="K381" s="5" t="str">
        <f aca="false">IF(J381="","no","yes")</f>
        <v>no</v>
      </c>
      <c r="L381" s="5"/>
      <c r="M381" s="7" t="n">
        <f aca="false">IF(L381="",0,IF(L381="Gold",0.5,IF(L381="Platinum",1,IF(L381="Diamond",10,IF(ISNUMBER(FIND("×",L381)),VALUE(LEFT(L381,FIND("×",L381)-1)),0)))))</f>
        <v>0</v>
      </c>
      <c r="N381" s="5" t="s">
        <v>1595</v>
      </c>
      <c r="O381" s="5" t="s">
        <v>1600</v>
      </c>
    </row>
    <row r="382" customFormat="false" ht="15" hidden="false" customHeight="false" outlineLevel="0" collapsed="false">
      <c r="A382" s="5" t="s">
        <v>1603</v>
      </c>
      <c r="B382" s="5" t="s">
        <v>192</v>
      </c>
      <c r="C382" s="5" t="s">
        <v>1604</v>
      </c>
      <c r="D382" s="5" t="s">
        <v>1252</v>
      </c>
      <c r="E382" s="8" t="n">
        <f aca="false">VALUE(LEFT(D382,4))</f>
        <v>1995</v>
      </c>
      <c r="F382" s="6" t="n">
        <f aca="false">IF(LEN(D382)=10,DATE(VALUE(LEFT(D382,4)),VALUE(MID(D382,6,2)),VALUE(RIGHT(D382,2))),IF(LEN(D382)=7,DATE(VALUE(LEFT(D382,4)),VALUE(MID(D382,6,2)),15),DATE(VALUE(LEFT(D382,4)),7,1)))</f>
        <v>34881</v>
      </c>
      <c r="G382" s="6" t="n">
        <f aca="false">INDEX(Acts!$D:$D,MATCH(B382,Acts!$B:$B,0))</f>
        <v>31832</v>
      </c>
      <c r="H382" s="5" t="str">
        <f aca="false">IF(F382&gt;G382,"yes","no")</f>
        <v>yes</v>
      </c>
      <c r="I382" s="5" t="s">
        <v>230</v>
      </c>
      <c r="J382" s="5"/>
      <c r="K382" s="5" t="str">
        <f aca="false">IF(J382="","no","yes")</f>
        <v>no</v>
      </c>
      <c r="L382" s="5"/>
      <c r="M382" s="7" t="n">
        <f aca="false">IF(L382="",0,IF(L382="Gold",0.5,IF(L382="Platinum",1,IF(L382="Diamond",10,IF(ISNUMBER(FIND("×",L382)),VALUE(LEFT(L382,FIND("×",L382)-1)),0)))))</f>
        <v>0</v>
      </c>
      <c r="N382" s="5" t="s">
        <v>1595</v>
      </c>
      <c r="O382" s="5" t="s">
        <v>1605</v>
      </c>
    </row>
    <row r="383" customFormat="false" ht="15" hidden="false" customHeight="false" outlineLevel="0" collapsed="false">
      <c r="A383" s="5" t="s">
        <v>1606</v>
      </c>
      <c r="B383" s="5" t="s">
        <v>195</v>
      </c>
      <c r="C383" s="5" t="s">
        <v>1607</v>
      </c>
      <c r="D383" s="5" t="s">
        <v>1608</v>
      </c>
      <c r="E383" s="8" t="n">
        <f aca="false">VALUE(LEFT(D383,4))</f>
        <v>1989</v>
      </c>
      <c r="F383" s="6" t="n">
        <f aca="false">IF(LEN(D383)=10,DATE(VALUE(LEFT(D383,4)),VALUE(MID(D383,6,2)),VALUE(RIGHT(D383,2))),IF(LEN(D383)=7,DATE(VALUE(LEFT(D383,4)),VALUE(MID(D383,6,2)),15),DATE(VALUE(LEFT(D383,4)),7,1)))</f>
        <v>32531</v>
      </c>
      <c r="G383" s="6" t="n">
        <f aca="false">INDEX(Acts!$D:$D,MATCH(B383,Acts!$B:$B,0))</f>
        <v>32925</v>
      </c>
      <c r="H383" s="5" t="str">
        <f aca="false">IF(F383&gt;G383,"yes","no")</f>
        <v>no</v>
      </c>
      <c r="I383" s="5" t="s">
        <v>218</v>
      </c>
      <c r="J383" s="5" t="n">
        <v>1</v>
      </c>
      <c r="K383" s="5" t="str">
        <f aca="false">IF(J383="","no","yes")</f>
        <v>yes</v>
      </c>
      <c r="L383" s="5" t="s">
        <v>510</v>
      </c>
      <c r="M383" s="7" t="n">
        <f aca="false">IF(L383="",0,IF(L383="Gold",0.5,IF(L383="Platinum",1,IF(L383="Diamond",10,IF(ISNUMBER(FIND("×",L383)),VALUE(LEFT(L383,FIND("×",L383)-1)),0)))))</f>
        <v>2</v>
      </c>
      <c r="N383" s="5" t="s">
        <v>1609</v>
      </c>
      <c r="O383" s="5"/>
    </row>
    <row r="384" customFormat="false" ht="15" hidden="false" customHeight="false" outlineLevel="0" collapsed="false">
      <c r="A384" s="5" t="s">
        <v>1610</v>
      </c>
      <c r="B384" s="5" t="s">
        <v>195</v>
      </c>
      <c r="C384" s="5" t="s">
        <v>1611</v>
      </c>
      <c r="D384" s="5" t="s">
        <v>1612</v>
      </c>
      <c r="E384" s="8" t="n">
        <f aca="false">VALUE(LEFT(D384,4))</f>
        <v>1991</v>
      </c>
      <c r="F384" s="6" t="n">
        <f aca="false">IF(LEN(D384)=10,DATE(VALUE(LEFT(D384,4)),VALUE(MID(D384,6,2)),VALUE(RIGHT(D384,2))),IF(LEN(D384)=7,DATE(VALUE(LEFT(D384,4)),VALUE(MID(D384,6,2)),15),DATE(VALUE(LEFT(D384,4)),7,1)))</f>
        <v>33561</v>
      </c>
      <c r="G384" s="6" t="n">
        <f aca="false">INDEX(Acts!$D:$D,MATCH(B384,Acts!$B:$B,0))</f>
        <v>32925</v>
      </c>
      <c r="H384" s="5" t="str">
        <f aca="false">IF(F384&gt;G384,"yes","no")</f>
        <v>yes</v>
      </c>
      <c r="I384" s="5" t="s">
        <v>218</v>
      </c>
      <c r="J384" s="5"/>
      <c r="K384" s="5" t="str">
        <f aca="false">IF(J384="","no","yes")</f>
        <v>no</v>
      </c>
      <c r="L384" s="5"/>
      <c r="M384" s="7" t="n">
        <f aca="false">IF(L384="",0,IF(L384="Gold",0.5,IF(L384="Platinum",1,IF(L384="Diamond",10,IF(ISNUMBER(FIND("×",L384)),VALUE(LEFT(L384,FIND("×",L384)-1)),0)))))</f>
        <v>0</v>
      </c>
      <c r="N384" s="5" t="s">
        <v>1609</v>
      </c>
      <c r="O384" s="5" t="s">
        <v>1613</v>
      </c>
    </row>
    <row r="385" customFormat="false" ht="15" hidden="false" customHeight="false" outlineLevel="0" collapsed="false">
      <c r="A385" s="5" t="s">
        <v>1614</v>
      </c>
      <c r="B385" s="5" t="s">
        <v>198</v>
      </c>
      <c r="C385" s="5" t="s">
        <v>1615</v>
      </c>
      <c r="D385" s="5" t="s">
        <v>1616</v>
      </c>
      <c r="E385" s="8" t="n">
        <f aca="false">VALUE(LEFT(D385,4))</f>
        <v>1988</v>
      </c>
      <c r="F385" s="6" t="n">
        <f aca="false">IF(LEN(D385)=10,DATE(VALUE(LEFT(D385,4)),VALUE(MID(D385,6,2)),VALUE(RIGHT(D385,2))),IF(LEN(D385)=7,DATE(VALUE(LEFT(D385,4)),VALUE(MID(D385,6,2)),15),DATE(VALUE(LEFT(D385,4)),7,1)))</f>
        <v>32304</v>
      </c>
      <c r="G385" s="6" t="n">
        <f aca="false">INDEX(Acts!$D:$D,MATCH(B385,Acts!$B:$B,0))</f>
        <v>32561</v>
      </c>
      <c r="H385" s="5" t="str">
        <f aca="false">IF(F385&gt;G385,"yes","no")</f>
        <v>no</v>
      </c>
      <c r="I385" s="5" t="s">
        <v>218</v>
      </c>
      <c r="J385" s="5" t="n">
        <v>63</v>
      </c>
      <c r="K385" s="5" t="str">
        <f aca="false">IF(J385="","no","yes")</f>
        <v>yes</v>
      </c>
      <c r="L385" s="5" t="s">
        <v>271</v>
      </c>
      <c r="M385" s="7" t="n">
        <f aca="false">IF(L385="",0,IF(L385="Gold",0.5,IF(L385="Platinum",1,IF(L385="Diamond",10,IF(ISNUMBER(FIND("×",L385)),VALUE(LEFT(L385,FIND("×",L385)-1)),0)))))</f>
        <v>0.5</v>
      </c>
      <c r="N385" s="5" t="s">
        <v>1617</v>
      </c>
      <c r="O385" s="5" t="s">
        <v>1618</v>
      </c>
    </row>
    <row r="386" customFormat="false" ht="15" hidden="false" customHeight="false" outlineLevel="0" collapsed="false">
      <c r="A386" s="5" t="s">
        <v>1619</v>
      </c>
      <c r="B386" s="5" t="s">
        <v>198</v>
      </c>
      <c r="C386" s="5" t="s">
        <v>1620</v>
      </c>
      <c r="D386" s="5" t="s">
        <v>1621</v>
      </c>
      <c r="E386" s="8" t="n">
        <f aca="false">VALUE(LEFT(D386,4))</f>
        <v>1991</v>
      </c>
      <c r="F386" s="6" t="n">
        <f aca="false">IF(LEN(D386)=10,DATE(VALUE(LEFT(D386,4)),VALUE(MID(D386,6,2)),VALUE(RIGHT(D386,2))),IF(LEN(D386)=7,DATE(VALUE(LEFT(D386,4)),VALUE(MID(D386,6,2)),15),DATE(VALUE(LEFT(D386,4)),7,1)))</f>
        <v>33414</v>
      </c>
      <c r="G386" s="6" t="n">
        <f aca="false">INDEX(Acts!$D:$D,MATCH(B386,Acts!$B:$B,0))</f>
        <v>32561</v>
      </c>
      <c r="H386" s="5" t="str">
        <f aca="false">IF(F386&gt;G386,"yes","no")</f>
        <v>yes</v>
      </c>
      <c r="I386" s="5" t="s">
        <v>218</v>
      </c>
      <c r="J386" s="5" t="n">
        <v>115</v>
      </c>
      <c r="K386" s="5" t="str">
        <f aca="false">IF(J386="","no","yes")</f>
        <v>yes</v>
      </c>
      <c r="L386" s="5"/>
      <c r="M386" s="7" t="n">
        <f aca="false">IF(L386="",0,IF(L386="Gold",0.5,IF(L386="Platinum",1,IF(L386="Diamond",10,IF(ISNUMBER(FIND("×",L386)),VALUE(LEFT(L386,FIND("×",L386)-1)),0)))))</f>
        <v>0</v>
      </c>
      <c r="N386" s="5" t="s">
        <v>1617</v>
      </c>
      <c r="O386" s="5"/>
    </row>
    <row r="387" customFormat="false" ht="15" hidden="false" customHeight="false" outlineLevel="0" collapsed="false">
      <c r="A387" s="5" t="s">
        <v>1622</v>
      </c>
      <c r="B387" s="5" t="s">
        <v>198</v>
      </c>
      <c r="C387" s="5" t="s">
        <v>1623</v>
      </c>
      <c r="D387" s="5" t="s">
        <v>1624</v>
      </c>
      <c r="E387" s="8" t="n">
        <f aca="false">VALUE(LEFT(D387,4))</f>
        <v>1994</v>
      </c>
      <c r="F387" s="6" t="n">
        <f aca="false">IF(LEN(D387)=10,DATE(VALUE(LEFT(D387,4)),VALUE(MID(D387,6,2)),VALUE(RIGHT(D387,2))),IF(LEN(D387)=7,DATE(VALUE(LEFT(D387,4)),VALUE(MID(D387,6,2)),15),DATE(VALUE(LEFT(D387,4)),7,1)))</f>
        <v>34478</v>
      </c>
      <c r="G387" s="6" t="n">
        <f aca="false">INDEX(Acts!$D:$D,MATCH(B387,Acts!$B:$B,0))</f>
        <v>32561</v>
      </c>
      <c r="H387" s="5" t="str">
        <f aca="false">IF(F387&gt;G387,"yes","no")</f>
        <v>yes</v>
      </c>
      <c r="I387" s="5" t="s">
        <v>230</v>
      </c>
      <c r="J387" s="5"/>
      <c r="K387" s="5" t="str">
        <f aca="false">IF(J387="","no","yes")</f>
        <v>no</v>
      </c>
      <c r="L387" s="5"/>
      <c r="M387" s="7" t="n">
        <f aca="false">IF(L387="",0,IF(L387="Gold",0.5,IF(L387="Platinum",1,IF(L387="Diamond",10,IF(ISNUMBER(FIND("×",L387)),VALUE(LEFT(L387,FIND("×",L387)-1)),0)))))</f>
        <v>0</v>
      </c>
      <c r="N387" s="5" t="s">
        <v>1617</v>
      </c>
      <c r="O387" s="5" t="s">
        <v>1625</v>
      </c>
    </row>
    <row r="388" customFormat="false" ht="15" hidden="false" customHeight="false" outlineLevel="0" collapsed="false">
      <c r="A388" s="5" t="s">
        <v>1626</v>
      </c>
      <c r="B388" s="5" t="s">
        <v>198</v>
      </c>
      <c r="C388" s="5" t="s">
        <v>1627</v>
      </c>
      <c r="D388" s="5" t="s">
        <v>422</v>
      </c>
      <c r="E388" s="8" t="n">
        <f aca="false">VALUE(LEFT(D388,4))</f>
        <v>2007</v>
      </c>
      <c r="F388" s="6" t="n">
        <f aca="false">IF(LEN(D388)=10,DATE(VALUE(LEFT(D388,4)),VALUE(MID(D388,6,2)),VALUE(RIGHT(D388,2))),IF(LEN(D388)=7,DATE(VALUE(LEFT(D388,4)),VALUE(MID(D388,6,2)),15),DATE(VALUE(LEFT(D388,4)),7,1)))</f>
        <v>39264</v>
      </c>
      <c r="G388" s="6" t="n">
        <f aca="false">INDEX(Acts!$D:$D,MATCH(B388,Acts!$B:$B,0))</f>
        <v>32561</v>
      </c>
      <c r="H388" s="5" t="str">
        <f aca="false">IF(F388&gt;G388,"yes","no")</f>
        <v>yes</v>
      </c>
      <c r="I388" s="5" t="s">
        <v>218</v>
      </c>
      <c r="J388" s="5"/>
      <c r="K388" s="5" t="str">
        <f aca="false">IF(J388="","no","yes")</f>
        <v>no</v>
      </c>
      <c r="L388" s="5"/>
      <c r="M388" s="7" t="n">
        <f aca="false">IF(L388="",0,IF(L388="Gold",0.5,IF(L388="Platinum",1,IF(L388="Diamond",10,IF(ISNUMBER(FIND("×",L388)),VALUE(LEFT(L388,FIND("×",L388)-1)),0)))))</f>
        <v>0</v>
      </c>
      <c r="N388" s="5" t="s">
        <v>1617</v>
      </c>
      <c r="O388" s="5" t="s">
        <v>1628</v>
      </c>
    </row>
    <row r="389" customFormat="false" ht="15" hidden="false" customHeight="false" outlineLevel="0" collapsed="false">
      <c r="A389" s="5" t="s">
        <v>1629</v>
      </c>
      <c r="B389" s="5" t="s">
        <v>198</v>
      </c>
      <c r="C389" s="5" t="s">
        <v>1630</v>
      </c>
      <c r="D389" s="5" t="s">
        <v>429</v>
      </c>
      <c r="E389" s="8" t="n">
        <f aca="false">VALUE(LEFT(D389,4))</f>
        <v>2014</v>
      </c>
      <c r="F389" s="6" t="n">
        <f aca="false">IF(LEN(D389)=10,DATE(VALUE(LEFT(D389,4)),VALUE(MID(D389,6,2)),VALUE(RIGHT(D389,2))),IF(LEN(D389)=7,DATE(VALUE(LEFT(D389,4)),VALUE(MID(D389,6,2)),15),DATE(VALUE(LEFT(D389,4)),7,1)))</f>
        <v>41821</v>
      </c>
      <c r="G389" s="6" t="n">
        <f aca="false">INDEX(Acts!$D:$D,MATCH(B389,Acts!$B:$B,0))</f>
        <v>32561</v>
      </c>
      <c r="H389" s="5" t="str">
        <f aca="false">IF(F389&gt;G389,"yes","no")</f>
        <v>yes</v>
      </c>
      <c r="I389" s="5" t="s">
        <v>230</v>
      </c>
      <c r="J389" s="5"/>
      <c r="K389" s="5" t="str">
        <f aca="false">IF(J389="","no","yes")</f>
        <v>no</v>
      </c>
      <c r="L389" s="5"/>
      <c r="M389" s="7" t="n">
        <f aca="false">IF(L389="",0,IF(L389="Gold",0.5,IF(L389="Platinum",1,IF(L389="Diamond",10,IF(ISNUMBER(FIND("×",L389)),VALUE(LEFT(L389,FIND("×",L389)-1)),0)))))</f>
        <v>0</v>
      </c>
      <c r="N389" s="5" t="s">
        <v>1617</v>
      </c>
      <c r="O389" s="5" t="s">
        <v>1631</v>
      </c>
    </row>
    <row r="390" customFormat="false" ht="15" hidden="false" customHeight="false" outlineLevel="0" collapsed="false">
      <c r="A390" s="5" t="s">
        <v>1632</v>
      </c>
      <c r="B390" s="5" t="s">
        <v>201</v>
      </c>
      <c r="C390" s="5" t="s">
        <v>201</v>
      </c>
      <c r="D390" s="5" t="s">
        <v>1633</v>
      </c>
      <c r="E390" s="8" t="n">
        <f aca="false">VALUE(LEFT(D390,4))</f>
        <v>1988</v>
      </c>
      <c r="F390" s="6" t="n">
        <f aca="false">IF(LEN(D390)=10,DATE(VALUE(LEFT(D390,4)),VALUE(MID(D390,6,2)),VALUE(RIGHT(D390,2))),IF(LEN(D390)=7,DATE(VALUE(LEFT(D390,4)),VALUE(MID(D390,6,2)),15),DATE(VALUE(LEFT(D390,4)),7,1)))</f>
        <v>32238</v>
      </c>
      <c r="G390" s="6" t="n">
        <f aca="false">INDEX(Acts!$D:$D,MATCH(B390,Acts!$B:$B,0))</f>
        <v>32561</v>
      </c>
      <c r="H390" s="5" t="str">
        <f aca="false">IF(F390&gt;G390,"yes","no")</f>
        <v>no</v>
      </c>
      <c r="I390" s="5" t="s">
        <v>218</v>
      </c>
      <c r="J390" s="5" t="n">
        <v>1</v>
      </c>
      <c r="K390" s="5" t="str">
        <f aca="false">IF(J390="","no","yes")</f>
        <v>yes</v>
      </c>
      <c r="L390" s="5" t="s">
        <v>1016</v>
      </c>
      <c r="M390" s="7" t="n">
        <f aca="false">IF(L390="",0,IF(L390="Gold",0.5,IF(L390="Platinum",1,IF(L390="Diamond",10,IF(ISNUMBER(FIND("×",L390)),VALUE(LEFT(L390,FIND("×",L390)-1)),0)))))</f>
        <v>6</v>
      </c>
      <c r="N390" s="5" t="s">
        <v>1634</v>
      </c>
      <c r="O390" s="5"/>
    </row>
    <row r="391" customFormat="false" ht="15" hidden="false" customHeight="false" outlineLevel="0" collapsed="false">
      <c r="A391" s="5" t="s">
        <v>1635</v>
      </c>
      <c r="B391" s="5" t="s">
        <v>201</v>
      </c>
      <c r="C391" s="5" t="s">
        <v>1636</v>
      </c>
      <c r="D391" s="5" t="s">
        <v>1637</v>
      </c>
      <c r="E391" s="8" t="n">
        <f aca="false">VALUE(LEFT(D391,4))</f>
        <v>1989</v>
      </c>
      <c r="F391" s="6" t="n">
        <f aca="false">IF(LEN(D391)=10,DATE(VALUE(LEFT(D391,4)),VALUE(MID(D391,6,2)),VALUE(RIGHT(D391,2))),IF(LEN(D391)=7,DATE(VALUE(LEFT(D391,4)),VALUE(MID(D391,6,2)),15),DATE(VALUE(LEFT(D391,4)),7,1)))</f>
        <v>32784</v>
      </c>
      <c r="G391" s="6" t="n">
        <f aca="false">INDEX(Acts!$D:$D,MATCH(B391,Acts!$B:$B,0))</f>
        <v>32561</v>
      </c>
      <c r="H391" s="5" t="str">
        <f aca="false">IF(F391&gt;G391,"yes","no")</f>
        <v>yes</v>
      </c>
      <c r="I391" s="5" t="s">
        <v>218</v>
      </c>
      <c r="J391" s="5" t="n">
        <v>9</v>
      </c>
      <c r="K391" s="5" t="str">
        <f aca="false">IF(J391="","no","yes")</f>
        <v>yes</v>
      </c>
      <c r="L391" s="5" t="s">
        <v>219</v>
      </c>
      <c r="M391" s="7" t="n">
        <f aca="false">IF(L391="",0,IF(L391="Gold",0.5,IF(L391="Platinum",1,IF(L391="Diamond",10,IF(ISNUMBER(FIND("×",L391)),VALUE(LEFT(L391,FIND("×",L391)-1)),0)))))</f>
        <v>1</v>
      </c>
      <c r="N391" s="5" t="s">
        <v>1634</v>
      </c>
      <c r="O391" s="5"/>
    </row>
    <row r="392" customFormat="false" ht="15" hidden="false" customHeight="false" outlineLevel="0" collapsed="false">
      <c r="A392" s="5" t="s">
        <v>1638</v>
      </c>
      <c r="B392" s="5" t="s">
        <v>201</v>
      </c>
      <c r="C392" s="5" t="s">
        <v>1639</v>
      </c>
      <c r="D392" s="5" t="s">
        <v>1640</v>
      </c>
      <c r="E392" s="8" t="n">
        <f aca="false">VALUE(LEFT(D392,4))</f>
        <v>1992</v>
      </c>
      <c r="F392" s="6" t="n">
        <f aca="false">IF(LEN(D392)=10,DATE(VALUE(LEFT(D392,4)),VALUE(MID(D392,6,2)),VALUE(RIGHT(D392,2))),IF(LEN(D392)=7,DATE(VALUE(LEFT(D392,4)),VALUE(MID(D392,6,2)),15),DATE(VALUE(LEFT(D392,4)),7,1)))</f>
        <v>33722</v>
      </c>
      <c r="G392" s="6" t="n">
        <f aca="false">INDEX(Acts!$D:$D,MATCH(B392,Acts!$B:$B,0))</f>
        <v>32561</v>
      </c>
      <c r="H392" s="5" t="str">
        <f aca="false">IF(F392&gt;G392,"yes","no")</f>
        <v>yes</v>
      </c>
      <c r="I392" s="5" t="s">
        <v>218</v>
      </c>
      <c r="J392" s="5" t="n">
        <v>53</v>
      </c>
      <c r="K392" s="5" t="str">
        <f aca="false">IF(J392="","no","yes")</f>
        <v>yes</v>
      </c>
      <c r="L392" s="5" t="s">
        <v>271</v>
      </c>
      <c r="M392" s="7" t="n">
        <f aca="false">IF(L392="",0,IF(L392="Gold",0.5,IF(L392="Platinum",1,IF(L392="Diamond",10,IF(ISNUMBER(FIND("×",L392)),VALUE(LEFT(L392,FIND("×",L392)-1)),0)))))</f>
        <v>0.5</v>
      </c>
      <c r="N392" s="5" t="s">
        <v>1634</v>
      </c>
      <c r="O392" s="5"/>
    </row>
    <row r="393" customFormat="false" ht="15" hidden="false" customHeight="false" outlineLevel="0" collapsed="false">
      <c r="A393" s="5" t="s">
        <v>1641</v>
      </c>
      <c r="B393" s="5" t="s">
        <v>201</v>
      </c>
      <c r="C393" s="5" t="s">
        <v>1642</v>
      </c>
      <c r="D393" s="5" t="s">
        <v>1643</v>
      </c>
      <c r="E393" s="8" t="n">
        <f aca="false">VALUE(LEFT(D393,4))</f>
        <v>1995</v>
      </c>
      <c r="F393" s="6" t="n">
        <f aca="false">IF(LEN(D393)=10,DATE(VALUE(LEFT(D393,4)),VALUE(MID(D393,6,2)),VALUE(RIGHT(D393,2))),IF(LEN(D393)=7,DATE(VALUE(LEFT(D393,4)),VALUE(MID(D393,6,2)),15),DATE(VALUE(LEFT(D393,4)),7,1)))</f>
        <v>35017</v>
      </c>
      <c r="G393" s="6" t="n">
        <f aca="false">INDEX(Acts!$D:$D,MATCH(B393,Acts!$B:$B,0))</f>
        <v>32561</v>
      </c>
      <c r="H393" s="5" t="str">
        <f aca="false">IF(F393&gt;G393,"yes","no")</f>
        <v>yes</v>
      </c>
      <c r="I393" s="5" t="s">
        <v>218</v>
      </c>
      <c r="J393" s="5" t="n">
        <v>4</v>
      </c>
      <c r="K393" s="5" t="str">
        <f aca="false">IF(J393="","no","yes")</f>
        <v>yes</v>
      </c>
      <c r="L393" s="5" t="s">
        <v>395</v>
      </c>
      <c r="M393" s="7" t="n">
        <f aca="false">IF(L393="",0,IF(L393="Gold",0.5,IF(L393="Platinum",1,IF(L393="Diamond",10,IF(ISNUMBER(FIND("×",L393)),VALUE(LEFT(L393,FIND("×",L393)-1)),0)))))</f>
        <v>5</v>
      </c>
      <c r="N393" s="5" t="s">
        <v>1634</v>
      </c>
      <c r="O393" s="5"/>
    </row>
    <row r="394" customFormat="false" ht="15" hidden="false" customHeight="false" outlineLevel="0" collapsed="false">
      <c r="A394" s="5" t="s">
        <v>1644</v>
      </c>
      <c r="B394" s="5" t="s">
        <v>201</v>
      </c>
      <c r="C394" s="5" t="s">
        <v>1645</v>
      </c>
      <c r="D394" s="5" t="s">
        <v>1646</v>
      </c>
      <c r="E394" s="8" t="n">
        <f aca="false">VALUE(LEFT(D394,4))</f>
        <v>2000</v>
      </c>
      <c r="F394" s="6" t="n">
        <f aca="false">IF(LEN(D394)=10,DATE(VALUE(LEFT(D394,4)),VALUE(MID(D394,6,2)),VALUE(RIGHT(D394,2))),IF(LEN(D394)=7,DATE(VALUE(LEFT(D394,4)),VALUE(MID(D394,6,2)),15),DATE(VALUE(LEFT(D394,4)),7,1)))</f>
        <v>36570</v>
      </c>
      <c r="G394" s="6" t="n">
        <f aca="false">INDEX(Acts!$D:$D,MATCH(B394,Acts!$B:$B,0))</f>
        <v>32561</v>
      </c>
      <c r="H394" s="5" t="str">
        <f aca="false">IF(F394&gt;G394,"yes","no")</f>
        <v>yes</v>
      </c>
      <c r="I394" s="5" t="s">
        <v>218</v>
      </c>
      <c r="J394" s="5" t="n">
        <v>33</v>
      </c>
      <c r="K394" s="5" t="str">
        <f aca="false">IF(J394="","no","yes")</f>
        <v>yes</v>
      </c>
      <c r="L394" s="5" t="s">
        <v>271</v>
      </c>
      <c r="M394" s="7" t="n">
        <f aca="false">IF(L394="",0,IF(L394="Gold",0.5,IF(L394="Platinum",1,IF(L394="Diamond",10,IF(ISNUMBER(FIND("×",L394)),VALUE(LEFT(L394,FIND("×",L394)-1)),0)))))</f>
        <v>0.5</v>
      </c>
      <c r="N394" s="5" t="s">
        <v>1634</v>
      </c>
      <c r="O394" s="5"/>
    </row>
    <row r="395" customFormat="false" ht="15" hidden="false" customHeight="false" outlineLevel="0" collapsed="false">
      <c r="A395" s="5" t="s">
        <v>1647</v>
      </c>
      <c r="B395" s="5" t="s">
        <v>201</v>
      </c>
      <c r="C395" s="5" t="s">
        <v>1648</v>
      </c>
      <c r="D395" s="5" t="s">
        <v>1649</v>
      </c>
      <c r="E395" s="8" t="n">
        <f aca="false">VALUE(LEFT(D395,4))</f>
        <v>2002</v>
      </c>
      <c r="F395" s="6" t="n">
        <f aca="false">IF(LEN(D395)=10,DATE(VALUE(LEFT(D395,4)),VALUE(MID(D395,6,2)),VALUE(RIGHT(D395,2))),IF(LEN(D395)=7,DATE(VALUE(LEFT(D395,4)),VALUE(MID(D395,6,2)),15),DATE(VALUE(LEFT(D395,4)),7,1)))</f>
        <v>37544</v>
      </c>
      <c r="G395" s="6" t="n">
        <f aca="false">INDEX(Acts!$D:$D,MATCH(B395,Acts!$B:$B,0))</f>
        <v>32561</v>
      </c>
      <c r="H395" s="5" t="str">
        <f aca="false">IF(F395&gt;G395,"yes","no")</f>
        <v>yes</v>
      </c>
      <c r="I395" s="5" t="s">
        <v>218</v>
      </c>
      <c r="J395" s="5" t="n">
        <v>25</v>
      </c>
      <c r="K395" s="5" t="str">
        <f aca="false">IF(J395="","no","yes")</f>
        <v>yes</v>
      </c>
      <c r="L395" s="5"/>
      <c r="M395" s="7" t="n">
        <f aca="false">IF(L395="",0,IF(L395="Gold",0.5,IF(L395="Platinum",1,IF(L395="Diamond",10,IF(ISNUMBER(FIND("×",L395)),VALUE(LEFT(L395,FIND("×",L395)-1)),0)))))</f>
        <v>0</v>
      </c>
      <c r="N395" s="5" t="s">
        <v>1634</v>
      </c>
      <c r="O395" s="5"/>
    </row>
    <row r="396" customFormat="false" ht="15" hidden="false" customHeight="false" outlineLevel="0" collapsed="false">
      <c r="A396" s="5" t="s">
        <v>1650</v>
      </c>
      <c r="B396" s="5" t="s">
        <v>201</v>
      </c>
      <c r="C396" s="5" t="s">
        <v>1651</v>
      </c>
      <c r="D396" s="5" t="s">
        <v>1652</v>
      </c>
      <c r="E396" s="8" t="n">
        <f aca="false">VALUE(LEFT(D396,4))</f>
        <v>2005</v>
      </c>
      <c r="F396" s="6" t="n">
        <f aca="false">IF(LEN(D396)=10,DATE(VALUE(LEFT(D396,4)),VALUE(MID(D396,6,2)),VALUE(RIGHT(D396,2))),IF(LEN(D396)=7,DATE(VALUE(LEFT(D396,4)),VALUE(MID(D396,6,2)),15),DATE(VALUE(LEFT(D396,4)),7,1)))</f>
        <v>38608</v>
      </c>
      <c r="G396" s="6" t="n">
        <f aca="false">INDEX(Acts!$D:$D,MATCH(B396,Acts!$B:$B,0))</f>
        <v>32561</v>
      </c>
      <c r="H396" s="5" t="str">
        <f aca="false">IF(F396&gt;G396,"yes","no")</f>
        <v>yes</v>
      </c>
      <c r="I396" s="5" t="s">
        <v>218</v>
      </c>
      <c r="J396" s="5" t="n">
        <v>49</v>
      </c>
      <c r="K396" s="5" t="str">
        <f aca="false">IF(J396="","no","yes")</f>
        <v>yes</v>
      </c>
      <c r="L396" s="5"/>
      <c r="M396" s="7" t="n">
        <f aca="false">IF(L396="",0,IF(L396="Gold",0.5,IF(L396="Platinum",1,IF(L396="Diamond",10,IF(ISNUMBER(FIND("×",L396)),VALUE(LEFT(L396,FIND("×",L396)-1)),0)))))</f>
        <v>0</v>
      </c>
      <c r="N396" s="5" t="s">
        <v>1634</v>
      </c>
      <c r="O396" s="5"/>
    </row>
    <row r="397" customFormat="false" ht="15" hidden="false" customHeight="false" outlineLevel="0" collapsed="false">
      <c r="A397" s="5" t="s">
        <v>1653</v>
      </c>
      <c r="B397" s="5" t="s">
        <v>201</v>
      </c>
      <c r="C397" s="5" t="s">
        <v>1654</v>
      </c>
      <c r="D397" s="5" t="s">
        <v>1655</v>
      </c>
      <c r="E397" s="8" t="n">
        <f aca="false">VALUE(LEFT(D397,4))</f>
        <v>2008</v>
      </c>
      <c r="F397" s="6" t="n">
        <f aca="false">IF(LEN(D397)=10,DATE(VALUE(LEFT(D397,4)),VALUE(MID(D397,6,2)),VALUE(RIGHT(D397,2))),IF(LEN(D397)=7,DATE(VALUE(LEFT(D397,4)),VALUE(MID(D397,6,2)),15),DATE(VALUE(LEFT(D397,4)),7,1)))</f>
        <v>39763</v>
      </c>
      <c r="G397" s="6" t="n">
        <f aca="false">INDEX(Acts!$D:$D,MATCH(B397,Acts!$B:$B,0))</f>
        <v>32561</v>
      </c>
      <c r="H397" s="5" t="str">
        <f aca="false">IF(F397&gt;G397,"yes","no")</f>
        <v>yes</v>
      </c>
      <c r="I397" s="5" t="s">
        <v>218</v>
      </c>
      <c r="J397" s="5" t="n">
        <v>57</v>
      </c>
      <c r="K397" s="5" t="str">
        <f aca="false">IF(J397="","no","yes")</f>
        <v>yes</v>
      </c>
      <c r="L397" s="5"/>
      <c r="M397" s="7" t="n">
        <f aca="false">IF(L397="",0,IF(L397="Gold",0.5,IF(L397="Platinum",1,IF(L397="Diamond",10,IF(ISNUMBER(FIND("×",L397)),VALUE(LEFT(L397,FIND("×",L397)-1)),0)))))</f>
        <v>0</v>
      </c>
      <c r="N397" s="5" t="s">
        <v>1634</v>
      </c>
      <c r="O397" s="5"/>
    </row>
    <row r="398" customFormat="false" ht="15" hidden="false" customHeight="false" outlineLevel="0" collapsed="false">
      <c r="A398" s="5" t="s">
        <v>1656</v>
      </c>
      <c r="B398" s="5" t="s">
        <v>204</v>
      </c>
      <c r="C398" s="5" t="s">
        <v>1657</v>
      </c>
      <c r="D398" s="5" t="s">
        <v>1658</v>
      </c>
      <c r="E398" s="8" t="n">
        <f aca="false">VALUE(LEFT(D398,4))</f>
        <v>1988</v>
      </c>
      <c r="F398" s="6" t="n">
        <f aca="false">IF(LEN(D398)=10,DATE(VALUE(LEFT(D398,4)),VALUE(MID(D398,6,2)),VALUE(RIGHT(D398,2))),IF(LEN(D398)=7,DATE(VALUE(LEFT(D398,4)),VALUE(MID(D398,6,2)),15),DATE(VALUE(LEFT(D398,4)),7,1)))</f>
        <v>32175</v>
      </c>
      <c r="G398" s="6" t="n">
        <f aca="false">INDEX(Acts!$D:$D,MATCH(B398,Acts!$B:$B,0))</f>
        <v>32561</v>
      </c>
      <c r="H398" s="5" t="str">
        <f aca="false">IF(F398&gt;G398,"yes","no")</f>
        <v>no</v>
      </c>
      <c r="I398" s="5" t="s">
        <v>218</v>
      </c>
      <c r="J398" s="5" t="n">
        <v>38</v>
      </c>
      <c r="K398" s="5" t="str">
        <f aca="false">IF(J398="","no","yes")</f>
        <v>yes</v>
      </c>
      <c r="L398" s="5" t="s">
        <v>271</v>
      </c>
      <c r="M398" s="7" t="n">
        <f aca="false">IF(L398="",0,IF(L398="Gold",0.5,IF(L398="Platinum",1,IF(L398="Diamond",10,IF(ISNUMBER(FIND("×",L398)),VALUE(LEFT(L398,FIND("×",L398)-1)),0)))))</f>
        <v>0.5</v>
      </c>
      <c r="N398" s="5" t="s">
        <v>1659</v>
      </c>
      <c r="O398" s="5"/>
    </row>
    <row r="399" customFormat="false" ht="15" hidden="false" customHeight="false" outlineLevel="0" collapsed="false">
      <c r="A399" s="5" t="s">
        <v>1660</v>
      </c>
      <c r="B399" s="5" t="s">
        <v>204</v>
      </c>
      <c r="C399" s="5" t="s">
        <v>1661</v>
      </c>
      <c r="D399" s="5" t="s">
        <v>890</v>
      </c>
      <c r="E399" s="8" t="n">
        <f aca="false">VALUE(LEFT(D399,4))</f>
        <v>1991</v>
      </c>
      <c r="F399" s="6" t="n">
        <f aca="false">IF(LEN(D399)=10,DATE(VALUE(LEFT(D399,4)),VALUE(MID(D399,6,2)),VALUE(RIGHT(D399,2))),IF(LEN(D399)=7,DATE(VALUE(LEFT(D399,4)),VALUE(MID(D399,6,2)),15),DATE(VALUE(LEFT(D399,4)),7,1)))</f>
        <v>33470</v>
      </c>
      <c r="G399" s="6" t="n">
        <f aca="false">INDEX(Acts!$D:$D,MATCH(B399,Acts!$B:$B,0))</f>
        <v>32561</v>
      </c>
      <c r="H399" s="5" t="str">
        <f aca="false">IF(F399&gt;G399,"yes","no")</f>
        <v>yes</v>
      </c>
      <c r="I399" s="5" t="s">
        <v>218</v>
      </c>
      <c r="J399" s="5" t="n">
        <v>17</v>
      </c>
      <c r="K399" s="5" t="str">
        <f aca="false">IF(J399="","no","yes")</f>
        <v>yes</v>
      </c>
      <c r="L399" s="5" t="s">
        <v>386</v>
      </c>
      <c r="M399" s="7" t="n">
        <f aca="false">IF(L399="",0,IF(L399="Gold",0.5,IF(L399="Platinum",1,IF(L399="Diamond",10,IF(ISNUMBER(FIND("×",L399)),VALUE(LEFT(L399,FIND("×",L399)-1)),0)))))</f>
        <v>3</v>
      </c>
      <c r="N399" s="5" t="s">
        <v>1659</v>
      </c>
      <c r="O399" s="5"/>
    </row>
    <row r="400" customFormat="false" ht="15" hidden="false" customHeight="false" outlineLevel="0" collapsed="false">
      <c r="A400" s="5" t="s">
        <v>1662</v>
      </c>
      <c r="B400" s="5" t="s">
        <v>204</v>
      </c>
      <c r="C400" s="5" t="s">
        <v>1663</v>
      </c>
      <c r="D400" s="5" t="s">
        <v>1664</v>
      </c>
      <c r="E400" s="8" t="n">
        <f aca="false">VALUE(LEFT(D400,4))</f>
        <v>1994</v>
      </c>
      <c r="F400" s="6" t="n">
        <f aca="false">IF(LEN(D400)=10,DATE(VALUE(LEFT(D400,4)),VALUE(MID(D400,6,2)),VALUE(RIGHT(D400,2))),IF(LEN(D400)=7,DATE(VALUE(LEFT(D400,4)),VALUE(MID(D400,6,2)),15),DATE(VALUE(LEFT(D400,4)),7,1)))</f>
        <v>34674</v>
      </c>
      <c r="G400" s="6" t="n">
        <f aca="false">INDEX(Acts!$D:$D,MATCH(B400,Acts!$B:$B,0))</f>
        <v>32561</v>
      </c>
      <c r="H400" s="5" t="str">
        <f aca="false">IF(F400&gt;G400,"yes","no")</f>
        <v>yes</v>
      </c>
      <c r="I400" s="5" t="s">
        <v>218</v>
      </c>
      <c r="J400" s="5" t="n">
        <v>57</v>
      </c>
      <c r="K400" s="5" t="str">
        <f aca="false">IF(J400="","no","yes")</f>
        <v>yes</v>
      </c>
      <c r="L400" s="5" t="s">
        <v>219</v>
      </c>
      <c r="M400" s="7" t="n">
        <f aca="false">IF(L400="",0,IF(L400="Gold",0.5,IF(L400="Platinum",1,IF(L400="Diamond",10,IF(ISNUMBER(FIND("×",L400)),VALUE(LEFT(L400,FIND("×",L400)-1)),0)))))</f>
        <v>1</v>
      </c>
      <c r="N400" s="5" t="s">
        <v>1659</v>
      </c>
      <c r="O400" s="5"/>
    </row>
    <row r="401" customFormat="false" ht="15" hidden="false" customHeight="false" outlineLevel="0" collapsed="false">
      <c r="A401" s="5" t="s">
        <v>1665</v>
      </c>
      <c r="B401" s="5" t="s">
        <v>204</v>
      </c>
      <c r="C401" s="5" t="s">
        <v>1666</v>
      </c>
      <c r="D401" s="5" t="s">
        <v>1667</v>
      </c>
      <c r="E401" s="8" t="n">
        <f aca="false">VALUE(LEFT(D401,4))</f>
        <v>1996</v>
      </c>
      <c r="F401" s="6" t="n">
        <f aca="false">IF(LEN(D401)=10,DATE(VALUE(LEFT(D401,4)),VALUE(MID(D401,6,2)),VALUE(RIGHT(D401,2))),IF(LEN(D401)=7,DATE(VALUE(LEFT(D401,4)),VALUE(MID(D401,6,2)),15),DATE(VALUE(LEFT(D401,4)),7,1)))</f>
        <v>35374</v>
      </c>
      <c r="G401" s="6" t="n">
        <f aca="false">INDEX(Acts!$D:$D,MATCH(B401,Acts!$B:$B,0))</f>
        <v>32561</v>
      </c>
      <c r="H401" s="5" t="str">
        <f aca="false">IF(F401&gt;G401,"yes","no")</f>
        <v>yes</v>
      </c>
      <c r="I401" s="5" t="s">
        <v>218</v>
      </c>
      <c r="J401" s="5" t="n">
        <v>36</v>
      </c>
      <c r="K401" s="5" t="str">
        <f aca="false">IF(J401="","no","yes")</f>
        <v>yes</v>
      </c>
      <c r="L401" s="5" t="s">
        <v>271</v>
      </c>
      <c r="M401" s="7" t="n">
        <f aca="false">IF(L401="",0,IF(L401="Gold",0.5,IF(L401="Platinum",1,IF(L401="Diamond",10,IF(ISNUMBER(FIND("×",L401)),VALUE(LEFT(L401,FIND("×",L401)-1)),0)))))</f>
        <v>0.5</v>
      </c>
      <c r="N401" s="5" t="s">
        <v>1659</v>
      </c>
      <c r="O401" s="5"/>
    </row>
    <row r="402" customFormat="false" ht="15" hidden="false" customHeight="false" outlineLevel="0" collapsed="false">
      <c r="A402" s="5" t="s">
        <v>1668</v>
      </c>
      <c r="B402" s="5" t="s">
        <v>204</v>
      </c>
      <c r="C402" s="5" t="s">
        <v>1669</v>
      </c>
      <c r="D402" s="5" t="s">
        <v>1670</v>
      </c>
      <c r="E402" s="8" t="n">
        <f aca="false">VALUE(LEFT(D402,4))</f>
        <v>1997</v>
      </c>
      <c r="F402" s="6" t="n">
        <f aca="false">IF(LEN(D402)=10,DATE(VALUE(LEFT(D402,4)),VALUE(MID(D402,6,2)),VALUE(RIGHT(D402,2))),IF(LEN(D402)=7,DATE(VALUE(LEFT(D402,4)),VALUE(MID(D402,6,2)),15),DATE(VALUE(LEFT(D402,4)),7,1)))</f>
        <v>35668</v>
      </c>
      <c r="G402" s="6" t="n">
        <f aca="false">INDEX(Acts!$D:$D,MATCH(B402,Acts!$B:$B,0))</f>
        <v>32561</v>
      </c>
      <c r="H402" s="5" t="str">
        <f aca="false">IF(F402&gt;G402,"yes","no")</f>
        <v>yes</v>
      </c>
      <c r="I402" s="5" t="s">
        <v>218</v>
      </c>
      <c r="J402" s="5" t="n">
        <v>53</v>
      </c>
      <c r="K402" s="5" t="str">
        <f aca="false">IF(J402="","no","yes")</f>
        <v>yes</v>
      </c>
      <c r="L402" s="5"/>
      <c r="M402" s="7" t="n">
        <f aca="false">IF(L402="",0,IF(L402="Gold",0.5,IF(L402="Platinum",1,IF(L402="Diamond",10,IF(ISNUMBER(FIND("×",L402)),VALUE(LEFT(L402,FIND("×",L402)-1)),0)))))</f>
        <v>0</v>
      </c>
      <c r="N402" s="5" t="s">
        <v>1659</v>
      </c>
      <c r="O402" s="5"/>
    </row>
    <row r="403" customFormat="false" ht="15" hidden="false" customHeight="false" outlineLevel="0" collapsed="false">
      <c r="A403" s="5" t="s">
        <v>1671</v>
      </c>
      <c r="B403" s="5" t="s">
        <v>204</v>
      </c>
      <c r="C403" s="5" t="s">
        <v>1672</v>
      </c>
      <c r="D403" s="5" t="s">
        <v>1673</v>
      </c>
      <c r="E403" s="8" t="n">
        <f aca="false">VALUE(LEFT(D403,4))</f>
        <v>2004</v>
      </c>
      <c r="F403" s="6" t="n">
        <f aca="false">IF(LEN(D403)=10,DATE(VALUE(LEFT(D403,4)),VALUE(MID(D403,6,2)),VALUE(RIGHT(D403,2))),IF(LEN(D403)=7,DATE(VALUE(LEFT(D403,4)),VALUE(MID(D403,6,2)),15),DATE(VALUE(LEFT(D403,4)),7,1)))</f>
        <v>38272</v>
      </c>
      <c r="G403" s="6" t="n">
        <f aca="false">INDEX(Acts!$D:$D,MATCH(B403,Acts!$B:$B,0))</f>
        <v>32561</v>
      </c>
      <c r="H403" s="5" t="str">
        <f aca="false">IF(F403&gt;G403,"yes","no")</f>
        <v>yes</v>
      </c>
      <c r="I403" s="5" t="s">
        <v>218</v>
      </c>
      <c r="J403" s="5" t="n">
        <v>120</v>
      </c>
      <c r="K403" s="5" t="str">
        <f aca="false">IF(J403="","no","yes")</f>
        <v>yes</v>
      </c>
      <c r="L403" s="5"/>
      <c r="M403" s="7" t="n">
        <f aca="false">IF(L403="",0,IF(L403="Gold",0.5,IF(L403="Platinum",1,IF(L403="Diamond",10,IF(ISNUMBER(FIND("×",L403)),VALUE(LEFT(L403,FIND("×",L403)-1)),0)))))</f>
        <v>0</v>
      </c>
      <c r="N403" s="5" t="s">
        <v>1659</v>
      </c>
      <c r="O403" s="5"/>
    </row>
    <row r="404" customFormat="false" ht="15" hidden="false" customHeight="false" outlineLevel="0" collapsed="false">
      <c r="A404" s="5" t="s">
        <v>1674</v>
      </c>
      <c r="B404" s="5" t="s">
        <v>204</v>
      </c>
      <c r="C404" s="5" t="s">
        <v>1675</v>
      </c>
      <c r="D404" s="5" t="s">
        <v>1676</v>
      </c>
      <c r="E404" s="8" t="n">
        <f aca="false">VALUE(LEFT(D404,4))</f>
        <v>2005</v>
      </c>
      <c r="F404" s="6" t="n">
        <f aca="false">IF(LEN(D404)=10,DATE(VALUE(LEFT(D404,4)),VALUE(MID(D404,6,2)),VALUE(RIGHT(D404,2))),IF(LEN(D404)=7,DATE(VALUE(LEFT(D404,4)),VALUE(MID(D404,6,2)),15),DATE(VALUE(LEFT(D404,4)),7,1)))</f>
        <v>38377</v>
      </c>
      <c r="G404" s="6" t="n">
        <f aca="false">INDEX(Acts!$D:$D,MATCH(B404,Acts!$B:$B,0))</f>
        <v>32561</v>
      </c>
      <c r="H404" s="5" t="str">
        <f aca="false">IF(F404&gt;G404,"yes","no")</f>
        <v>yes</v>
      </c>
      <c r="I404" s="5" t="s">
        <v>218</v>
      </c>
      <c r="J404" s="5" t="n">
        <v>159</v>
      </c>
      <c r="K404" s="5" t="str">
        <f aca="false">IF(J404="","no","yes")</f>
        <v>yes</v>
      </c>
      <c r="L404" s="5"/>
      <c r="M404" s="7" t="n">
        <f aca="false">IF(L404="",0,IF(L404="Gold",0.5,IF(L404="Platinum",1,IF(L404="Diamond",10,IF(ISNUMBER(FIND("×",L404)),VALUE(LEFT(L404,FIND("×",L404)-1)),0)))))</f>
        <v>0</v>
      </c>
      <c r="N404" s="5" t="s">
        <v>1659</v>
      </c>
      <c r="O404" s="5"/>
    </row>
    <row r="405" customFormat="false" ht="15" hidden="false" customHeight="false" outlineLevel="0" collapsed="false">
      <c r="A405" s="5" t="s">
        <v>1677</v>
      </c>
      <c r="B405" s="5" t="s">
        <v>204</v>
      </c>
      <c r="C405" s="5" t="s">
        <v>1678</v>
      </c>
      <c r="D405" s="5" t="s">
        <v>1679</v>
      </c>
      <c r="E405" s="8" t="n">
        <f aca="false">VALUE(LEFT(D405,4))</f>
        <v>2009</v>
      </c>
      <c r="F405" s="6" t="n">
        <f aca="false">IF(LEN(D405)=10,DATE(VALUE(LEFT(D405,4)),VALUE(MID(D405,6,2)),VALUE(RIGHT(D405,2))),IF(LEN(D405)=7,DATE(VALUE(LEFT(D405,4)),VALUE(MID(D405,6,2)),15),DATE(VALUE(LEFT(D405,4)),7,1)))</f>
        <v>39966</v>
      </c>
      <c r="G405" s="6" t="n">
        <f aca="false">INDEX(Acts!$D:$D,MATCH(B405,Acts!$B:$B,0))</f>
        <v>32561</v>
      </c>
      <c r="H405" s="5" t="str">
        <f aca="false">IF(F405&gt;G405,"yes","no")</f>
        <v>yes</v>
      </c>
      <c r="I405" s="5" t="s">
        <v>218</v>
      </c>
      <c r="J405" s="5" t="n">
        <v>91</v>
      </c>
      <c r="K405" s="5" t="str">
        <f aca="false">IF(J405="","no","yes")</f>
        <v>yes</v>
      </c>
      <c r="L405" s="5"/>
      <c r="M405" s="7" t="n">
        <f aca="false">IF(L405="",0,IF(L405="Gold",0.5,IF(L405="Platinum",1,IF(L405="Diamond",10,IF(ISNUMBER(FIND("×",L405)),VALUE(LEFT(L405,FIND("×",L405)-1)),0)))))</f>
        <v>0</v>
      </c>
      <c r="N405" s="5" t="s">
        <v>1659</v>
      </c>
      <c r="O405" s="5"/>
    </row>
    <row r="406" customFormat="false" ht="15" hidden="false" customHeight="false" outlineLevel="0" collapsed="false">
      <c r="A406" s="5" t="s">
        <v>1680</v>
      </c>
      <c r="B406" s="5" t="s">
        <v>204</v>
      </c>
      <c r="C406" s="5" t="s">
        <v>1681</v>
      </c>
      <c r="D406" s="5" t="s">
        <v>1682</v>
      </c>
      <c r="E406" s="8" t="n">
        <f aca="false">VALUE(LEFT(D406,4))</f>
        <v>2024</v>
      </c>
      <c r="F406" s="6" t="n">
        <f aca="false">IF(LEN(D406)=10,DATE(VALUE(LEFT(D406,4)),VALUE(MID(D406,6,2)),VALUE(RIGHT(D406,2))),IF(LEN(D406)=7,DATE(VALUE(LEFT(D406,4)),VALUE(MID(D406,6,2)),15),DATE(VALUE(LEFT(D406,4)),7,1)))</f>
        <v>45527</v>
      </c>
      <c r="G406" s="6" t="n">
        <f aca="false">INDEX(Acts!$D:$D,MATCH(B406,Acts!$B:$B,0))</f>
        <v>32561</v>
      </c>
      <c r="H406" s="5" t="str">
        <f aca="false">IF(F406&gt;G406,"yes","no")</f>
        <v>yes</v>
      </c>
      <c r="I406" s="5" t="s">
        <v>230</v>
      </c>
      <c r="J406" s="5"/>
      <c r="K406" s="5" t="str">
        <f aca="false">IF(J406="","no","yes")</f>
        <v>no</v>
      </c>
      <c r="L406" s="5"/>
      <c r="M406" s="7" t="n">
        <f aca="false">IF(L406="",0,IF(L406="Gold",0.5,IF(L406="Platinum",1,IF(L406="Diamond",10,IF(ISNUMBER(FIND("×",L406)),VALUE(LEFT(L406,FIND("×",L406)-1)),0)))))</f>
        <v>0</v>
      </c>
      <c r="N406" s="5" t="s">
        <v>1659</v>
      </c>
      <c r="O406" s="5" t="s">
        <v>1683</v>
      </c>
    </row>
  </sheetData>
  <autoFilter ref="A1:O4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4" min="3" style="0" width="40"/>
    <col collapsed="false" customWidth="true" hidden="false" outlineLevel="0" max="5" min="5" style="0" width="11"/>
    <col collapsed="false" customWidth="true" hidden="false" outlineLevel="0" max="6" min="6" style="0" width="14"/>
    <col collapsed="false" customWidth="true" hidden="false" outlineLevel="0" max="7" min="7" style="0" width="50"/>
  </cols>
  <sheetData>
    <row r="1" customFormat="false" ht="35.05" hidden="false" customHeight="false" outlineLevel="0" collapsed="false">
      <c r="A1" s="4" t="s">
        <v>24</v>
      </c>
      <c r="B1" s="4" t="s">
        <v>27</v>
      </c>
      <c r="C1" s="4" t="s">
        <v>1684</v>
      </c>
      <c r="D1" s="4" t="s">
        <v>1685</v>
      </c>
      <c r="E1" s="4" t="s">
        <v>1686</v>
      </c>
      <c r="F1" s="4" t="s">
        <v>1687</v>
      </c>
      <c r="G1" s="4" t="s">
        <v>214</v>
      </c>
    </row>
    <row r="2" customFormat="false" ht="15" hidden="false" customHeight="false" outlineLevel="0" collapsed="false">
      <c r="A2" s="5" t="s">
        <v>62</v>
      </c>
      <c r="B2" s="5" t="n">
        <v>1983</v>
      </c>
      <c r="C2" s="5" t="s">
        <v>1688</v>
      </c>
      <c r="D2" s="5" t="s">
        <v>62</v>
      </c>
      <c r="E2" s="5" t="s">
        <v>52</v>
      </c>
      <c r="F2" s="5" t="str">
        <f aca="false">IF(B2&gt;YEAR(INDEX(Acts!$D:$D,MATCH(A2,Acts!$B:$B,0))),"later",IF(B2=YEAR(INDEX(Acts!$D:$D,MATCH(A2,Acts!$B:$B,0))),"same ceremony","earlier"))</f>
        <v>same ceremony</v>
      </c>
      <c r="G2" s="5" t="s">
        <v>1689</v>
      </c>
    </row>
    <row r="3" customFormat="false" ht="15" hidden="false" customHeight="false" outlineLevel="0" collapsed="false">
      <c r="A3" s="5" t="s">
        <v>65</v>
      </c>
      <c r="B3" s="5" t="n">
        <v>1984</v>
      </c>
      <c r="C3" s="5" t="s">
        <v>1688</v>
      </c>
      <c r="D3" s="5" t="s">
        <v>1690</v>
      </c>
      <c r="E3" s="5" t="s">
        <v>52</v>
      </c>
      <c r="F3" s="5" t="str">
        <f aca="false">IF(B3&gt;YEAR(INDEX(Acts!$D:$D,MATCH(A3,Acts!$B:$B,0))),"later",IF(B3=YEAR(INDEX(Acts!$D:$D,MATCH(A3,Acts!$B:$B,0))),"same ceremony","earlier"))</f>
        <v>same ceremony</v>
      </c>
      <c r="G3" s="5" t="s">
        <v>1691</v>
      </c>
    </row>
    <row r="4" customFormat="false" ht="15" hidden="false" customHeight="false" outlineLevel="0" collapsed="false">
      <c r="A4" s="5" t="s">
        <v>71</v>
      </c>
      <c r="B4" s="5" t="n">
        <v>1991</v>
      </c>
      <c r="C4" s="5" t="s">
        <v>1692</v>
      </c>
      <c r="D4" s="5" t="s">
        <v>1693</v>
      </c>
      <c r="E4" s="5" t="s">
        <v>52</v>
      </c>
      <c r="F4" s="5" t="str">
        <f aca="false">IF(B4&gt;YEAR(INDEX(Acts!$D:$D,MATCH(A4,Acts!$B:$B,0))),"later",IF(B4=YEAR(INDEX(Acts!$D:$D,MATCH(A4,Acts!$B:$B,0))),"same ceremony","earlier"))</f>
        <v>later</v>
      </c>
      <c r="G4" s="5" t="s">
        <v>1694</v>
      </c>
    </row>
    <row r="5" customFormat="false" ht="15" hidden="false" customHeight="false" outlineLevel="0" collapsed="false">
      <c r="A5" s="5" t="s">
        <v>75</v>
      </c>
      <c r="B5" s="5" t="n">
        <v>1981</v>
      </c>
      <c r="C5" s="5" t="s">
        <v>1695</v>
      </c>
      <c r="D5" s="5" t="s">
        <v>75</v>
      </c>
      <c r="E5" s="5" t="s">
        <v>72</v>
      </c>
      <c r="F5" s="5" t="str">
        <f aca="false">IF(B5&gt;YEAR(INDEX(Acts!$D:$D,MATCH(A5,Acts!$B:$B,0))),"later",IF(B5=YEAR(INDEX(Acts!$D:$D,MATCH(A5,Acts!$B:$B,0))),"same ceremony","earlier"))</f>
        <v>same ceremony</v>
      </c>
      <c r="G5" s="5" t="s">
        <v>1696</v>
      </c>
    </row>
    <row r="6" customFormat="false" ht="15" hidden="false" customHeight="false" outlineLevel="0" collapsed="false">
      <c r="A6" s="5" t="s">
        <v>75</v>
      </c>
      <c r="B6" s="5" t="n">
        <v>1981</v>
      </c>
      <c r="C6" s="5" t="s">
        <v>1697</v>
      </c>
      <c r="D6" s="5" t="s">
        <v>75</v>
      </c>
      <c r="E6" s="5" t="s">
        <v>52</v>
      </c>
      <c r="F6" s="5" t="str">
        <f aca="false">IF(B6&gt;YEAR(INDEX(Acts!$D:$D,MATCH(A6,Acts!$B:$B,0))),"later",IF(B6=YEAR(INDEX(Acts!$D:$D,MATCH(A6,Acts!$B:$B,0))),"same ceremony","earlier"))</f>
        <v>same ceremony</v>
      </c>
      <c r="G6" s="5" t="s">
        <v>1696</v>
      </c>
    </row>
    <row r="7" customFormat="false" ht="15" hidden="false" customHeight="false" outlineLevel="0" collapsed="false">
      <c r="A7" s="5" t="s">
        <v>75</v>
      </c>
      <c r="B7" s="5" t="n">
        <v>1981</v>
      </c>
      <c r="C7" s="5" t="s">
        <v>1698</v>
      </c>
      <c r="D7" s="5" t="s">
        <v>1699</v>
      </c>
      <c r="E7" s="5" t="s">
        <v>72</v>
      </c>
      <c r="F7" s="5" t="str">
        <f aca="false">IF(B7&gt;YEAR(INDEX(Acts!$D:$D,MATCH(A7,Acts!$B:$B,0))),"later",IF(B7=YEAR(INDEX(Acts!$D:$D,MATCH(A7,Acts!$B:$B,0))),"same ceremony","earlier"))</f>
        <v>same ceremony</v>
      </c>
      <c r="G7" s="5" t="s">
        <v>1696</v>
      </c>
    </row>
    <row r="8" customFormat="false" ht="15" hidden="false" customHeight="false" outlineLevel="0" collapsed="false">
      <c r="A8" s="5" t="s">
        <v>75</v>
      </c>
      <c r="B8" s="5" t="n">
        <v>1981</v>
      </c>
      <c r="C8" s="5" t="s">
        <v>1700</v>
      </c>
      <c r="D8" s="5" t="s">
        <v>1699</v>
      </c>
      <c r="E8" s="5" t="s">
        <v>72</v>
      </c>
      <c r="F8" s="5" t="str">
        <f aca="false">IF(B8&gt;YEAR(INDEX(Acts!$D:$D,MATCH(A8,Acts!$B:$B,0))),"later",IF(B8=YEAR(INDEX(Acts!$D:$D,MATCH(A8,Acts!$B:$B,0))),"same ceremony","earlier"))</f>
        <v>same ceremony</v>
      </c>
      <c r="G8" s="5" t="s">
        <v>1696</v>
      </c>
    </row>
    <row r="9" customFormat="false" ht="15" hidden="false" customHeight="false" outlineLevel="0" collapsed="false">
      <c r="A9" s="5" t="s">
        <v>75</v>
      </c>
      <c r="B9" s="5" t="n">
        <v>1981</v>
      </c>
      <c r="C9" s="5" t="s">
        <v>1701</v>
      </c>
      <c r="D9" s="5" t="s">
        <v>1699</v>
      </c>
      <c r="E9" s="5" t="s">
        <v>72</v>
      </c>
      <c r="F9" s="5" t="str">
        <f aca="false">IF(B9&gt;YEAR(INDEX(Acts!$D:$D,MATCH(A9,Acts!$B:$B,0))),"later",IF(B9=YEAR(INDEX(Acts!$D:$D,MATCH(A9,Acts!$B:$B,0))),"same ceremony","earlier"))</f>
        <v>same ceremony</v>
      </c>
      <c r="G9" s="5" t="s">
        <v>1696</v>
      </c>
    </row>
    <row r="10" customFormat="false" ht="15" hidden="false" customHeight="false" outlineLevel="0" collapsed="false">
      <c r="A10" s="5" t="s">
        <v>75</v>
      </c>
      <c r="B10" s="5" t="n">
        <v>1982</v>
      </c>
      <c r="C10" s="5" t="s">
        <v>1697</v>
      </c>
      <c r="D10" s="5" t="s">
        <v>1702</v>
      </c>
      <c r="E10" s="5" t="s">
        <v>52</v>
      </c>
      <c r="F10" s="5" t="str">
        <f aca="false">IF(B10&gt;YEAR(INDEX(Acts!$D:$D,MATCH(A10,Acts!$B:$B,0))),"later",IF(B10=YEAR(INDEX(Acts!$D:$D,MATCH(A10,Acts!$B:$B,0))),"same ceremony","earlier"))</f>
        <v>later</v>
      </c>
      <c r="G10" s="5" t="s">
        <v>1696</v>
      </c>
    </row>
    <row r="11" customFormat="false" ht="15" hidden="false" customHeight="false" outlineLevel="0" collapsed="false">
      <c r="A11" s="5" t="s">
        <v>75</v>
      </c>
      <c r="B11" s="5" t="n">
        <v>1982</v>
      </c>
      <c r="C11" s="5" t="s">
        <v>1698</v>
      </c>
      <c r="D11" s="5" t="s">
        <v>1702</v>
      </c>
      <c r="E11" s="5" t="s">
        <v>52</v>
      </c>
      <c r="F11" s="5" t="str">
        <f aca="false">IF(B11&gt;YEAR(INDEX(Acts!$D:$D,MATCH(A11,Acts!$B:$B,0))),"later",IF(B11=YEAR(INDEX(Acts!$D:$D,MATCH(A11,Acts!$B:$B,0))),"same ceremony","earlier"))</f>
        <v>later</v>
      </c>
      <c r="G11" s="5" t="s">
        <v>1696</v>
      </c>
    </row>
    <row r="12" customFormat="false" ht="15" hidden="false" customHeight="false" outlineLevel="0" collapsed="false">
      <c r="A12" s="5" t="s">
        <v>75</v>
      </c>
      <c r="B12" s="5" t="n">
        <v>1982</v>
      </c>
      <c r="C12" s="5" t="s">
        <v>1700</v>
      </c>
      <c r="D12" s="5" t="s">
        <v>1702</v>
      </c>
      <c r="E12" s="5" t="s">
        <v>52</v>
      </c>
      <c r="F12" s="5" t="str">
        <f aca="false">IF(B12&gt;YEAR(INDEX(Acts!$D:$D,MATCH(A12,Acts!$B:$B,0))),"later",IF(B12=YEAR(INDEX(Acts!$D:$D,MATCH(A12,Acts!$B:$B,0))),"same ceremony","earlier"))</f>
        <v>later</v>
      </c>
      <c r="G12" s="5" t="s">
        <v>1696</v>
      </c>
    </row>
    <row r="13" customFormat="false" ht="15" hidden="false" customHeight="false" outlineLevel="0" collapsed="false">
      <c r="A13" s="5" t="s">
        <v>81</v>
      </c>
      <c r="B13" s="5" t="n">
        <v>1984</v>
      </c>
      <c r="C13" s="5" t="s">
        <v>1692</v>
      </c>
      <c r="D13" s="5" t="s">
        <v>1703</v>
      </c>
      <c r="E13" s="5" t="s">
        <v>52</v>
      </c>
      <c r="F13" s="5" t="str">
        <f aca="false">IF(B13&gt;YEAR(INDEX(Acts!$D:$D,MATCH(A13,Acts!$B:$B,0))),"later",IF(B13=YEAR(INDEX(Acts!$D:$D,MATCH(A13,Acts!$B:$B,0))),"same ceremony","earlier"))</f>
        <v>same ceremony</v>
      </c>
      <c r="G13" s="5" t="s">
        <v>1704</v>
      </c>
    </row>
    <row r="14" customFormat="false" ht="15" hidden="false" customHeight="false" outlineLevel="0" collapsed="false">
      <c r="A14" s="5" t="s">
        <v>87</v>
      </c>
      <c r="B14" s="5" t="n">
        <v>1985</v>
      </c>
      <c r="C14" s="5" t="s">
        <v>1705</v>
      </c>
      <c r="D14" s="5" t="s">
        <v>1706</v>
      </c>
      <c r="E14" s="5" t="s">
        <v>52</v>
      </c>
      <c r="F14" s="5" t="str">
        <f aca="false">IF(B14&gt;YEAR(INDEX(Acts!$D:$D,MATCH(A14,Acts!$B:$B,0))),"later",IF(B14=YEAR(INDEX(Acts!$D:$D,MATCH(A14,Acts!$B:$B,0))),"same ceremony","earlier"))</f>
        <v>same ceremony</v>
      </c>
      <c r="G14" s="5" t="s">
        <v>1707</v>
      </c>
    </row>
    <row r="15" customFormat="false" ht="15" hidden="false" customHeight="false" outlineLevel="0" collapsed="false">
      <c r="A15" s="5" t="s">
        <v>87</v>
      </c>
      <c r="B15" s="5" t="n">
        <v>1985</v>
      </c>
      <c r="C15" s="5" t="s">
        <v>1698</v>
      </c>
      <c r="D15" s="5" t="s">
        <v>1706</v>
      </c>
      <c r="E15" s="5" t="s">
        <v>52</v>
      </c>
      <c r="F15" s="5" t="str">
        <f aca="false">IF(B15&gt;YEAR(INDEX(Acts!$D:$D,MATCH(A15,Acts!$B:$B,0))),"later",IF(B15=YEAR(INDEX(Acts!$D:$D,MATCH(A15,Acts!$B:$B,0))),"same ceremony","earlier"))</f>
        <v>same ceremony</v>
      </c>
      <c r="G15" s="5" t="s">
        <v>1707</v>
      </c>
    </row>
    <row r="16" customFormat="false" ht="15" hidden="false" customHeight="false" outlineLevel="0" collapsed="false">
      <c r="A16" s="5" t="s">
        <v>87</v>
      </c>
      <c r="B16" s="5" t="n">
        <v>1985</v>
      </c>
      <c r="C16" s="5" t="s">
        <v>1700</v>
      </c>
      <c r="D16" s="5" t="s">
        <v>1708</v>
      </c>
      <c r="E16" s="5" t="s">
        <v>52</v>
      </c>
      <c r="F16" s="5" t="str">
        <f aca="false">IF(B16&gt;YEAR(INDEX(Acts!$D:$D,MATCH(A16,Acts!$B:$B,0))),"later",IF(B16=YEAR(INDEX(Acts!$D:$D,MATCH(A16,Acts!$B:$B,0))),"same ceremony","earlier"))</f>
        <v>same ceremony</v>
      </c>
      <c r="G16" s="5" t="s">
        <v>1707</v>
      </c>
    </row>
    <row r="17" customFormat="false" ht="15" hidden="false" customHeight="false" outlineLevel="0" collapsed="false">
      <c r="A17" s="5" t="s">
        <v>87</v>
      </c>
      <c r="B17" s="5" t="n">
        <v>1985</v>
      </c>
      <c r="C17" s="5" t="s">
        <v>1695</v>
      </c>
      <c r="D17" s="5" t="s">
        <v>502</v>
      </c>
      <c r="E17" s="5" t="s">
        <v>52</v>
      </c>
      <c r="F17" s="5" t="str">
        <f aca="false">IF(B17&gt;YEAR(INDEX(Acts!$D:$D,MATCH(A17,Acts!$B:$B,0))),"later",IF(B17=YEAR(INDEX(Acts!$D:$D,MATCH(A17,Acts!$B:$B,0))),"same ceremony","earlier"))</f>
        <v>same ceremony</v>
      </c>
      <c r="G17" s="5" t="s">
        <v>1707</v>
      </c>
    </row>
    <row r="18" customFormat="false" ht="15" hidden="false" customHeight="false" outlineLevel="0" collapsed="false">
      <c r="A18" s="5" t="s">
        <v>87</v>
      </c>
      <c r="B18" s="5" t="n">
        <v>1986</v>
      </c>
      <c r="C18" s="5" t="s">
        <v>1709</v>
      </c>
      <c r="D18" s="5" t="s">
        <v>1710</v>
      </c>
      <c r="E18" s="5" t="s">
        <v>52</v>
      </c>
      <c r="F18" s="5" t="str">
        <f aca="false">IF(B18&gt;YEAR(INDEX(Acts!$D:$D,MATCH(A18,Acts!$B:$B,0))),"later",IF(B18=YEAR(INDEX(Acts!$D:$D,MATCH(A18,Acts!$B:$B,0))),"same ceremony","earlier"))</f>
        <v>later</v>
      </c>
      <c r="G18" s="5" t="s">
        <v>1707</v>
      </c>
    </row>
    <row r="19" customFormat="false" ht="15" hidden="false" customHeight="false" outlineLevel="0" collapsed="false">
      <c r="A19" s="5" t="s">
        <v>87</v>
      </c>
      <c r="B19" s="5" t="n">
        <v>1987</v>
      </c>
      <c r="C19" s="5" t="s">
        <v>1709</v>
      </c>
      <c r="D19" s="5" t="s">
        <v>1711</v>
      </c>
      <c r="E19" s="5" t="s">
        <v>52</v>
      </c>
      <c r="F19" s="5" t="str">
        <f aca="false">IF(B19&gt;YEAR(INDEX(Acts!$D:$D,MATCH(A19,Acts!$B:$B,0))),"later",IF(B19=YEAR(INDEX(Acts!$D:$D,MATCH(A19,Acts!$B:$B,0))),"same ceremony","earlier"))</f>
        <v>later</v>
      </c>
      <c r="G19" s="5" t="s">
        <v>1707</v>
      </c>
    </row>
    <row r="20" customFormat="false" ht="15" hidden="false" customHeight="false" outlineLevel="0" collapsed="false">
      <c r="A20" s="5" t="s">
        <v>87</v>
      </c>
      <c r="B20" s="5" t="n">
        <v>1987</v>
      </c>
      <c r="C20" s="5" t="s">
        <v>1705</v>
      </c>
      <c r="D20" s="5" t="s">
        <v>508</v>
      </c>
      <c r="E20" s="5" t="s">
        <v>52</v>
      </c>
      <c r="F20" s="5" t="str">
        <f aca="false">IF(B20&gt;YEAR(INDEX(Acts!$D:$D,MATCH(A20,Acts!$B:$B,0))),"later",IF(B20=YEAR(INDEX(Acts!$D:$D,MATCH(A20,Acts!$B:$B,0))),"same ceremony","earlier"))</f>
        <v>later</v>
      </c>
      <c r="G20" s="5" t="s">
        <v>1707</v>
      </c>
    </row>
    <row r="21" customFormat="false" ht="15" hidden="false" customHeight="false" outlineLevel="0" collapsed="false">
      <c r="A21" s="5" t="s">
        <v>87</v>
      </c>
      <c r="B21" s="5" t="n">
        <v>1988</v>
      </c>
      <c r="C21" s="5" t="s">
        <v>1712</v>
      </c>
      <c r="D21" s="5" t="s">
        <v>1713</v>
      </c>
      <c r="E21" s="5" t="s">
        <v>52</v>
      </c>
      <c r="F21" s="5" t="str">
        <f aca="false">IF(B21&gt;YEAR(INDEX(Acts!$D:$D,MATCH(A21,Acts!$B:$B,0))),"later",IF(B21=YEAR(INDEX(Acts!$D:$D,MATCH(A21,Acts!$B:$B,0))),"same ceremony","earlier"))</f>
        <v>later</v>
      </c>
      <c r="G21" s="5" t="s">
        <v>1707</v>
      </c>
    </row>
    <row r="22" customFormat="false" ht="15" hidden="false" customHeight="false" outlineLevel="0" collapsed="false">
      <c r="A22" s="5" t="s">
        <v>87</v>
      </c>
      <c r="B22" s="5" t="n">
        <v>1990</v>
      </c>
      <c r="C22" s="5" t="s">
        <v>1709</v>
      </c>
      <c r="D22" s="5" t="s">
        <v>1714</v>
      </c>
      <c r="E22" s="5" t="s">
        <v>52</v>
      </c>
      <c r="F22" s="5" t="str">
        <f aca="false">IF(B22&gt;YEAR(INDEX(Acts!$D:$D,MATCH(A22,Acts!$B:$B,0))),"later",IF(B22=YEAR(INDEX(Acts!$D:$D,MATCH(A22,Acts!$B:$B,0))),"same ceremony","earlier"))</f>
        <v>later</v>
      </c>
      <c r="G22" s="5" t="s">
        <v>1707</v>
      </c>
    </row>
    <row r="23" customFormat="false" ht="15" hidden="false" customHeight="false" outlineLevel="0" collapsed="false">
      <c r="A23" s="5" t="s">
        <v>87</v>
      </c>
      <c r="B23" s="5" t="n">
        <v>1999</v>
      </c>
      <c r="C23" s="5" t="s">
        <v>1715</v>
      </c>
      <c r="D23" s="5" t="s">
        <v>1716</v>
      </c>
      <c r="E23" s="5" t="s">
        <v>52</v>
      </c>
      <c r="F23" s="5" t="str">
        <f aca="false">IF(B23&gt;YEAR(INDEX(Acts!$D:$D,MATCH(A23,Acts!$B:$B,0))),"later",IF(B23=YEAR(INDEX(Acts!$D:$D,MATCH(A23,Acts!$B:$B,0))),"same ceremony","earlier"))</f>
        <v>later</v>
      </c>
      <c r="G23" s="5" t="s">
        <v>1707</v>
      </c>
    </row>
    <row r="24" customFormat="false" ht="15" hidden="false" customHeight="false" outlineLevel="0" collapsed="false">
      <c r="A24" s="5" t="s">
        <v>87</v>
      </c>
      <c r="B24" s="5" t="n">
        <v>2005</v>
      </c>
      <c r="C24" s="5" t="s">
        <v>1717</v>
      </c>
      <c r="D24" s="5" t="s">
        <v>1718</v>
      </c>
      <c r="E24" s="5" t="s">
        <v>52</v>
      </c>
      <c r="F24" s="5" t="str">
        <f aca="false">IF(B24&gt;YEAR(INDEX(Acts!$D:$D,MATCH(A24,Acts!$B:$B,0))),"later",IF(B24=YEAR(INDEX(Acts!$D:$D,MATCH(A24,Acts!$B:$B,0))),"same ceremony","earlier"))</f>
        <v>later</v>
      </c>
      <c r="G24" s="5" t="s">
        <v>1707</v>
      </c>
    </row>
    <row r="25" customFormat="false" ht="15" hidden="false" customHeight="false" outlineLevel="0" collapsed="false">
      <c r="A25" s="5" t="s">
        <v>87</v>
      </c>
      <c r="B25" s="5" t="n">
        <v>2009</v>
      </c>
      <c r="C25" s="5" t="s">
        <v>1719</v>
      </c>
      <c r="D25" s="5" t="s">
        <v>536</v>
      </c>
      <c r="E25" s="5" t="s">
        <v>52</v>
      </c>
      <c r="F25" s="5" t="str">
        <f aca="false">IF(B25&gt;YEAR(INDEX(Acts!$D:$D,MATCH(A25,Acts!$B:$B,0))),"later",IF(B25=YEAR(INDEX(Acts!$D:$D,MATCH(A25,Acts!$B:$B,0))),"same ceremony","earlier"))</f>
        <v>later</v>
      </c>
      <c r="G25" s="5" t="s">
        <v>1707</v>
      </c>
    </row>
    <row r="26" customFormat="false" ht="15" hidden="false" customHeight="false" outlineLevel="0" collapsed="false">
      <c r="A26" s="5" t="s">
        <v>87</v>
      </c>
      <c r="B26" s="5" t="n">
        <v>2011</v>
      </c>
      <c r="C26" s="5" t="s">
        <v>1720</v>
      </c>
      <c r="D26" s="5" t="s">
        <v>539</v>
      </c>
      <c r="E26" s="5" t="s">
        <v>52</v>
      </c>
      <c r="F26" s="5" t="str">
        <f aca="false">IF(B26&gt;YEAR(INDEX(Acts!$D:$D,MATCH(A26,Acts!$B:$B,0))),"later",IF(B26=YEAR(INDEX(Acts!$D:$D,MATCH(A26,Acts!$B:$B,0))),"same ceremony","earlier"))</f>
        <v>later</v>
      </c>
      <c r="G26" s="5" t="s">
        <v>1707</v>
      </c>
    </row>
    <row r="27" customFormat="false" ht="15" hidden="false" customHeight="false" outlineLevel="0" collapsed="false">
      <c r="A27" s="5" t="s">
        <v>87</v>
      </c>
      <c r="B27" s="5" t="n">
        <v>2014</v>
      </c>
      <c r="C27" s="5" t="s">
        <v>1721</v>
      </c>
      <c r="D27" s="5" t="s">
        <v>1722</v>
      </c>
      <c r="E27" s="5" t="s">
        <v>72</v>
      </c>
      <c r="F27" s="5" t="str">
        <f aca="false">IF(B27&gt;YEAR(INDEX(Acts!$D:$D,MATCH(A27,Acts!$B:$B,0))),"later",IF(B27=YEAR(INDEX(Acts!$D:$D,MATCH(A27,Acts!$B:$B,0))),"same ceremony","earlier"))</f>
        <v>later</v>
      </c>
      <c r="G27" s="5" t="s">
        <v>1707</v>
      </c>
    </row>
    <row r="28" customFormat="false" ht="15" hidden="false" customHeight="false" outlineLevel="0" collapsed="false">
      <c r="A28" s="5" t="s">
        <v>87</v>
      </c>
      <c r="B28" s="5" t="n">
        <v>2017</v>
      </c>
      <c r="C28" s="5" t="s">
        <v>1721</v>
      </c>
      <c r="D28" s="5" t="s">
        <v>1722</v>
      </c>
      <c r="E28" s="5" t="s">
        <v>52</v>
      </c>
      <c r="F28" s="5" t="str">
        <f aca="false">IF(B28&gt;YEAR(INDEX(Acts!$D:$D,MATCH(A28,Acts!$B:$B,0))),"later",IF(B28=YEAR(INDEX(Acts!$D:$D,MATCH(A28,Acts!$B:$B,0))),"same ceremony","earlier"))</f>
        <v>later</v>
      </c>
      <c r="G28" s="5" t="s">
        <v>1707</v>
      </c>
    </row>
    <row r="29" customFormat="false" ht="15" hidden="false" customHeight="false" outlineLevel="0" collapsed="false">
      <c r="A29" s="5" t="s">
        <v>90</v>
      </c>
      <c r="B29" s="5" t="n">
        <v>1980</v>
      </c>
      <c r="C29" s="5" t="s">
        <v>1723</v>
      </c>
      <c r="D29" s="5" t="s">
        <v>1724</v>
      </c>
      <c r="E29" s="5" t="s">
        <v>52</v>
      </c>
      <c r="F29" s="5" t="str">
        <f aca="false">IF(B29&gt;YEAR(INDEX(Acts!$D:$D,MATCH(A29,Acts!$B:$B,0))),"later",IF(B29=YEAR(INDEX(Acts!$D:$D,MATCH(A29,Acts!$B:$B,0))),"same ceremony","earlier"))</f>
        <v>same ceremony</v>
      </c>
      <c r="G29" s="5" t="s">
        <v>1725</v>
      </c>
    </row>
    <row r="30" customFormat="false" ht="15" hidden="false" customHeight="false" outlineLevel="0" collapsed="false">
      <c r="A30" s="5" t="s">
        <v>90</v>
      </c>
      <c r="B30" s="5" t="n">
        <v>1986</v>
      </c>
      <c r="C30" s="5" t="s">
        <v>1695</v>
      </c>
      <c r="D30" s="5" t="s">
        <v>1726</v>
      </c>
      <c r="E30" s="5" t="s">
        <v>52</v>
      </c>
      <c r="F30" s="5" t="str">
        <f aca="false">IF(B30&gt;YEAR(INDEX(Acts!$D:$D,MATCH(A30,Acts!$B:$B,0))),"later",IF(B30=YEAR(INDEX(Acts!$D:$D,MATCH(A30,Acts!$B:$B,0))),"same ceremony","earlier"))</f>
        <v>later</v>
      </c>
      <c r="G30" s="5" t="s">
        <v>1725</v>
      </c>
    </row>
    <row r="31" customFormat="false" ht="15" hidden="false" customHeight="false" outlineLevel="0" collapsed="false">
      <c r="A31" s="5" t="s">
        <v>90</v>
      </c>
      <c r="B31" s="5" t="n">
        <v>1986</v>
      </c>
      <c r="C31" s="5" t="s">
        <v>1698</v>
      </c>
      <c r="D31" s="5" t="s">
        <v>1727</v>
      </c>
      <c r="E31" s="5" t="s">
        <v>52</v>
      </c>
      <c r="F31" s="5" t="str">
        <f aca="false">IF(B31&gt;YEAR(INDEX(Acts!$D:$D,MATCH(A31,Acts!$B:$B,0))),"later",IF(B31=YEAR(INDEX(Acts!$D:$D,MATCH(A31,Acts!$B:$B,0))),"same ceremony","earlier"))</f>
        <v>later</v>
      </c>
      <c r="G31" s="5" t="s">
        <v>1725</v>
      </c>
    </row>
    <row r="32" customFormat="false" ht="15" hidden="false" customHeight="false" outlineLevel="0" collapsed="false">
      <c r="A32" s="5" t="s">
        <v>90</v>
      </c>
      <c r="B32" s="5" t="n">
        <v>1986</v>
      </c>
      <c r="C32" s="5" t="s">
        <v>1688</v>
      </c>
      <c r="D32" s="5" t="s">
        <v>1727</v>
      </c>
      <c r="E32" s="5" t="s">
        <v>72</v>
      </c>
      <c r="F32" s="5" t="str">
        <f aca="false">IF(B32&gt;YEAR(INDEX(Acts!$D:$D,MATCH(A32,Acts!$B:$B,0))),"later",IF(B32=YEAR(INDEX(Acts!$D:$D,MATCH(A32,Acts!$B:$B,0))),"same ceremony","earlier"))</f>
        <v>later</v>
      </c>
      <c r="G32" s="5" t="s">
        <v>1725</v>
      </c>
    </row>
    <row r="33" customFormat="false" ht="15" hidden="false" customHeight="false" outlineLevel="0" collapsed="false">
      <c r="A33" s="5" t="s">
        <v>90</v>
      </c>
      <c r="B33" s="5" t="n">
        <v>1987</v>
      </c>
      <c r="C33" s="5" t="s">
        <v>1728</v>
      </c>
      <c r="D33" s="5" t="s">
        <v>1729</v>
      </c>
      <c r="E33" s="5" t="s">
        <v>72</v>
      </c>
      <c r="F33" s="5" t="str">
        <f aca="false">IF(B33&gt;YEAR(INDEX(Acts!$D:$D,MATCH(A33,Acts!$B:$B,0))),"later",IF(B33=YEAR(INDEX(Acts!$D:$D,MATCH(A33,Acts!$B:$B,0))),"same ceremony","earlier"))</f>
        <v>later</v>
      </c>
      <c r="G33" s="5" t="s">
        <v>1725</v>
      </c>
    </row>
    <row r="34" customFormat="false" ht="15" hidden="false" customHeight="false" outlineLevel="0" collapsed="false">
      <c r="A34" s="5" t="s">
        <v>90</v>
      </c>
      <c r="B34" s="5" t="n">
        <v>1992</v>
      </c>
      <c r="C34" s="5" t="s">
        <v>1728</v>
      </c>
      <c r="D34" s="5" t="s">
        <v>1730</v>
      </c>
      <c r="E34" s="5" t="s">
        <v>52</v>
      </c>
      <c r="F34" s="5" t="str">
        <f aca="false">IF(B34&gt;YEAR(INDEX(Acts!$D:$D,MATCH(A34,Acts!$B:$B,0))),"later",IF(B34=YEAR(INDEX(Acts!$D:$D,MATCH(A34,Acts!$B:$B,0))),"same ceremony","earlier"))</f>
        <v>later</v>
      </c>
      <c r="G34" s="5" t="s">
        <v>1725</v>
      </c>
    </row>
    <row r="35" customFormat="false" ht="15" hidden="false" customHeight="false" outlineLevel="0" collapsed="false">
      <c r="A35" s="5" t="s">
        <v>93</v>
      </c>
      <c r="B35" s="5" t="n">
        <v>1985</v>
      </c>
      <c r="C35" s="5" t="s">
        <v>1731</v>
      </c>
      <c r="D35" s="5" t="s">
        <v>1732</v>
      </c>
      <c r="E35" s="5" t="s">
        <v>52</v>
      </c>
      <c r="F35" s="5" t="str">
        <f aca="false">IF(B35&gt;YEAR(INDEX(Acts!$D:$D,MATCH(A35,Acts!$B:$B,0))),"later",IF(B35=YEAR(INDEX(Acts!$D:$D,MATCH(A35,Acts!$B:$B,0))),"same ceremony","earlier"))</f>
        <v>later</v>
      </c>
      <c r="G35" s="5" t="s">
        <v>1733</v>
      </c>
    </row>
    <row r="36" customFormat="false" ht="15" hidden="false" customHeight="false" outlineLevel="0" collapsed="false">
      <c r="A36" s="5" t="s">
        <v>93</v>
      </c>
      <c r="B36" s="5" t="n">
        <v>1986</v>
      </c>
      <c r="C36" s="5" t="s">
        <v>1734</v>
      </c>
      <c r="D36" s="5" t="s">
        <v>1735</v>
      </c>
      <c r="E36" s="5" t="s">
        <v>52</v>
      </c>
      <c r="F36" s="5" t="str">
        <f aca="false">IF(B36&gt;YEAR(INDEX(Acts!$D:$D,MATCH(A36,Acts!$B:$B,0))),"later",IF(B36=YEAR(INDEX(Acts!$D:$D,MATCH(A36,Acts!$B:$B,0))),"same ceremony","earlier"))</f>
        <v>later</v>
      </c>
      <c r="G36" s="5" t="s">
        <v>1733</v>
      </c>
    </row>
    <row r="37" customFormat="false" ht="15" hidden="false" customHeight="false" outlineLevel="0" collapsed="false">
      <c r="A37" s="5" t="s">
        <v>93</v>
      </c>
      <c r="B37" s="5" t="n">
        <v>1986</v>
      </c>
      <c r="C37" s="5" t="s">
        <v>1688</v>
      </c>
      <c r="D37" s="5" t="s">
        <v>1736</v>
      </c>
      <c r="E37" s="5" t="s">
        <v>52</v>
      </c>
      <c r="F37" s="5" t="str">
        <f aca="false">IF(B37&gt;YEAR(INDEX(Acts!$D:$D,MATCH(A37,Acts!$B:$B,0))),"later",IF(B37=YEAR(INDEX(Acts!$D:$D,MATCH(A37,Acts!$B:$B,0))),"same ceremony","earlier"))</f>
        <v>later</v>
      </c>
      <c r="G37" s="5" t="s">
        <v>1733</v>
      </c>
    </row>
    <row r="38" customFormat="false" ht="15" hidden="false" customHeight="false" outlineLevel="0" collapsed="false">
      <c r="A38" s="5" t="s">
        <v>93</v>
      </c>
      <c r="B38" s="5" t="n">
        <v>1987</v>
      </c>
      <c r="C38" s="5" t="s">
        <v>1688</v>
      </c>
      <c r="D38" s="5" t="s">
        <v>1737</v>
      </c>
      <c r="E38" s="5" t="s">
        <v>72</v>
      </c>
      <c r="F38" s="5" t="str">
        <f aca="false">IF(B38&gt;YEAR(INDEX(Acts!$D:$D,MATCH(A38,Acts!$B:$B,0))),"later",IF(B38=YEAR(INDEX(Acts!$D:$D,MATCH(A38,Acts!$B:$B,0))),"same ceremony","earlier"))</f>
        <v>later</v>
      </c>
      <c r="G38" s="5" t="s">
        <v>1733</v>
      </c>
    </row>
    <row r="39" customFormat="false" ht="15" hidden="false" customHeight="false" outlineLevel="0" collapsed="false">
      <c r="A39" s="5" t="s">
        <v>93</v>
      </c>
      <c r="B39" s="5" t="n">
        <v>1990</v>
      </c>
      <c r="C39" s="5" t="s">
        <v>1738</v>
      </c>
      <c r="D39" s="5" t="s">
        <v>580</v>
      </c>
      <c r="E39" s="5" t="s">
        <v>52</v>
      </c>
      <c r="F39" s="5" t="str">
        <f aca="false">IF(B39&gt;YEAR(INDEX(Acts!$D:$D,MATCH(A39,Acts!$B:$B,0))),"later",IF(B39=YEAR(INDEX(Acts!$D:$D,MATCH(A39,Acts!$B:$B,0))),"same ceremony","earlier"))</f>
        <v>later</v>
      </c>
      <c r="G39" s="5" t="s">
        <v>1733</v>
      </c>
    </row>
    <row r="40" customFormat="false" ht="15" hidden="false" customHeight="false" outlineLevel="0" collapsed="false">
      <c r="A40" s="5" t="s">
        <v>93</v>
      </c>
      <c r="B40" s="5" t="n">
        <v>1991</v>
      </c>
      <c r="C40" s="5" t="s">
        <v>1738</v>
      </c>
      <c r="D40" s="5" t="s">
        <v>1739</v>
      </c>
      <c r="E40" s="5" t="s">
        <v>52</v>
      </c>
      <c r="F40" s="5" t="str">
        <f aca="false">IF(B40&gt;YEAR(INDEX(Acts!$D:$D,MATCH(A40,Acts!$B:$B,0))),"later",IF(B40=YEAR(INDEX(Acts!$D:$D,MATCH(A40,Acts!$B:$B,0))),"same ceremony","earlier"))</f>
        <v>later</v>
      </c>
      <c r="G40" s="5" t="s">
        <v>1733</v>
      </c>
    </row>
    <row r="41" customFormat="false" ht="15" hidden="false" customHeight="false" outlineLevel="0" collapsed="false">
      <c r="A41" s="5" t="s">
        <v>99</v>
      </c>
      <c r="B41" s="5" t="n">
        <v>1986</v>
      </c>
      <c r="C41" s="5" t="s">
        <v>1740</v>
      </c>
      <c r="D41" s="5" t="s">
        <v>1741</v>
      </c>
      <c r="E41" s="5" t="s">
        <v>52</v>
      </c>
      <c r="F41" s="5" t="str">
        <f aca="false">IF(B41&gt;YEAR(INDEX(Acts!$D:$D,MATCH(A41,Acts!$B:$B,0))),"later",IF(B41=YEAR(INDEX(Acts!$D:$D,MATCH(A41,Acts!$B:$B,0))),"same ceremony","earlier"))</f>
        <v>same ceremony</v>
      </c>
      <c r="G41" s="5" t="s">
        <v>1742</v>
      </c>
    </row>
    <row r="42" customFormat="false" ht="15" hidden="false" customHeight="false" outlineLevel="0" collapsed="false">
      <c r="A42" s="5" t="s">
        <v>111</v>
      </c>
      <c r="B42" s="5" t="n">
        <v>1990</v>
      </c>
      <c r="C42" s="5" t="s">
        <v>1743</v>
      </c>
      <c r="D42" s="5" t="s">
        <v>111</v>
      </c>
      <c r="E42" s="5" t="s">
        <v>72</v>
      </c>
      <c r="F42" s="5" t="str">
        <f aca="false">IF(B42&gt;YEAR(INDEX(Acts!$D:$D,MATCH(A42,Acts!$B:$B,0))),"later",IF(B42=YEAR(INDEX(Acts!$D:$D,MATCH(A42,Acts!$B:$B,0))),"same ceremony","earlier"))</f>
        <v>same ceremony</v>
      </c>
      <c r="G42" s="5" t="s">
        <v>1744</v>
      </c>
    </row>
    <row r="43" customFormat="false" ht="15" hidden="false" customHeight="false" outlineLevel="0" collapsed="false">
      <c r="A43" s="5" t="s">
        <v>111</v>
      </c>
      <c r="B43" s="5" t="n">
        <v>1991</v>
      </c>
      <c r="C43" s="5" t="s">
        <v>1743</v>
      </c>
      <c r="D43" s="5" t="s">
        <v>1745</v>
      </c>
      <c r="E43" s="5" t="s">
        <v>52</v>
      </c>
      <c r="F43" s="5" t="str">
        <f aca="false">IF(B43&gt;YEAR(INDEX(Acts!$D:$D,MATCH(A43,Acts!$B:$B,0))),"later",IF(B43=YEAR(INDEX(Acts!$D:$D,MATCH(A43,Acts!$B:$B,0))),"same ceremony","earlier"))</f>
        <v>later</v>
      </c>
      <c r="G43" s="5" t="s">
        <v>1744</v>
      </c>
    </row>
    <row r="44" customFormat="false" ht="15" hidden="false" customHeight="false" outlineLevel="0" collapsed="false">
      <c r="A44" s="5" t="s">
        <v>111</v>
      </c>
      <c r="B44" s="5" t="n">
        <v>1992</v>
      </c>
      <c r="C44" s="5" t="s">
        <v>1743</v>
      </c>
      <c r="D44" s="5" t="s">
        <v>1746</v>
      </c>
      <c r="E44" s="5" t="s">
        <v>52</v>
      </c>
      <c r="F44" s="5" t="str">
        <f aca="false">IF(B44&gt;YEAR(INDEX(Acts!$D:$D,MATCH(A44,Acts!$B:$B,0))),"later",IF(B44=YEAR(INDEX(Acts!$D:$D,MATCH(A44,Acts!$B:$B,0))),"same ceremony","earlier"))</f>
        <v>later</v>
      </c>
      <c r="G44" s="5" t="s">
        <v>1744</v>
      </c>
    </row>
    <row r="45" customFormat="false" ht="15" hidden="false" customHeight="false" outlineLevel="0" collapsed="false">
      <c r="A45" s="5" t="s">
        <v>111</v>
      </c>
      <c r="B45" s="5" t="n">
        <v>1993</v>
      </c>
      <c r="C45" s="5" t="s">
        <v>1743</v>
      </c>
      <c r="D45" s="5" t="s">
        <v>1747</v>
      </c>
      <c r="E45" s="5" t="s">
        <v>52</v>
      </c>
      <c r="F45" s="5" t="str">
        <f aca="false">IF(B45&gt;YEAR(INDEX(Acts!$D:$D,MATCH(A45,Acts!$B:$B,0))),"later",IF(B45=YEAR(INDEX(Acts!$D:$D,MATCH(A45,Acts!$B:$B,0))),"same ceremony","earlier"))</f>
        <v>later</v>
      </c>
      <c r="G45" s="5" t="s">
        <v>1744</v>
      </c>
    </row>
    <row r="46" customFormat="false" ht="15" hidden="false" customHeight="false" outlineLevel="0" collapsed="false">
      <c r="A46" s="5" t="s">
        <v>111</v>
      </c>
      <c r="B46" s="5" t="n">
        <v>1995</v>
      </c>
      <c r="C46" s="5" t="s">
        <v>1743</v>
      </c>
      <c r="D46" s="5" t="s">
        <v>730</v>
      </c>
      <c r="E46" s="5" t="s">
        <v>52</v>
      </c>
      <c r="F46" s="5" t="str">
        <f aca="false">IF(B46&gt;YEAR(INDEX(Acts!$D:$D,MATCH(A46,Acts!$B:$B,0))),"later",IF(B46=YEAR(INDEX(Acts!$D:$D,MATCH(A46,Acts!$B:$B,0))),"same ceremony","earlier"))</f>
        <v>later</v>
      </c>
      <c r="G46" s="5" t="s">
        <v>1744</v>
      </c>
    </row>
    <row r="47" customFormat="false" ht="15" hidden="false" customHeight="false" outlineLevel="0" collapsed="false">
      <c r="A47" s="5" t="s">
        <v>111</v>
      </c>
      <c r="B47" s="5" t="n">
        <v>1998</v>
      </c>
      <c r="C47" s="5" t="s">
        <v>1743</v>
      </c>
      <c r="D47" s="5" t="s">
        <v>1748</v>
      </c>
      <c r="E47" s="5" t="s">
        <v>52</v>
      </c>
      <c r="F47" s="5" t="str">
        <f aca="false">IF(B47&gt;YEAR(INDEX(Acts!$D:$D,MATCH(A47,Acts!$B:$B,0))),"later",IF(B47=YEAR(INDEX(Acts!$D:$D,MATCH(A47,Acts!$B:$B,0))),"same ceremony","earlier"))</f>
        <v>later</v>
      </c>
      <c r="G47" s="5" t="s">
        <v>1744</v>
      </c>
    </row>
    <row r="48" customFormat="false" ht="15" hidden="false" customHeight="false" outlineLevel="0" collapsed="false">
      <c r="A48" s="5" t="s">
        <v>114</v>
      </c>
      <c r="B48" s="5" t="n">
        <v>1981</v>
      </c>
      <c r="C48" s="5" t="s">
        <v>1705</v>
      </c>
      <c r="D48" s="5" t="s">
        <v>1749</v>
      </c>
      <c r="E48" s="5" t="s">
        <v>52</v>
      </c>
      <c r="F48" s="5" t="str">
        <f aca="false">IF(B48&gt;YEAR(INDEX(Acts!$D:$D,MATCH(A48,Acts!$B:$B,0))),"later",IF(B48=YEAR(INDEX(Acts!$D:$D,MATCH(A48,Acts!$B:$B,0))),"same ceremony","earlier"))</f>
        <v>same ceremony</v>
      </c>
      <c r="G48" s="5" t="s">
        <v>1750</v>
      </c>
    </row>
    <row r="49" customFormat="false" ht="15" hidden="false" customHeight="false" outlineLevel="0" collapsed="false">
      <c r="A49" s="5" t="s">
        <v>114</v>
      </c>
      <c r="B49" s="5" t="n">
        <v>1984</v>
      </c>
      <c r="C49" s="5" t="s">
        <v>1705</v>
      </c>
      <c r="D49" s="5" t="s">
        <v>1751</v>
      </c>
      <c r="E49" s="5" t="s">
        <v>72</v>
      </c>
      <c r="F49" s="5" t="str">
        <f aca="false">IF(B49&gt;YEAR(INDEX(Acts!$D:$D,MATCH(A49,Acts!$B:$B,0))),"later",IF(B49=YEAR(INDEX(Acts!$D:$D,MATCH(A49,Acts!$B:$B,0))),"same ceremony","earlier"))</f>
        <v>later</v>
      </c>
      <c r="G49" s="5" t="s">
        <v>1750</v>
      </c>
    </row>
    <row r="50" customFormat="false" ht="15" hidden="false" customHeight="false" outlineLevel="0" collapsed="false">
      <c r="A50" s="5" t="s">
        <v>114</v>
      </c>
      <c r="B50" s="5" t="n">
        <v>1984</v>
      </c>
      <c r="C50" s="5" t="s">
        <v>1752</v>
      </c>
      <c r="D50" s="5" t="s">
        <v>1753</v>
      </c>
      <c r="E50" s="5" t="s">
        <v>72</v>
      </c>
      <c r="F50" s="5" t="str">
        <f aca="false">IF(B50&gt;YEAR(INDEX(Acts!$D:$D,MATCH(A50,Acts!$B:$B,0))),"later",IF(B50=YEAR(INDEX(Acts!$D:$D,MATCH(A50,Acts!$B:$B,0))),"same ceremony","earlier"))</f>
        <v>later</v>
      </c>
      <c r="G50" s="5" t="s">
        <v>1750</v>
      </c>
    </row>
    <row r="51" customFormat="false" ht="15" hidden="false" customHeight="false" outlineLevel="0" collapsed="false">
      <c r="A51" s="5" t="s">
        <v>114</v>
      </c>
      <c r="B51" s="5" t="n">
        <v>1984</v>
      </c>
      <c r="C51" s="5" t="s">
        <v>1754</v>
      </c>
      <c r="D51" s="5" t="s">
        <v>1755</v>
      </c>
      <c r="E51" s="5" t="s">
        <v>52</v>
      </c>
      <c r="F51" s="5" t="str">
        <f aca="false">IF(B51&gt;YEAR(INDEX(Acts!$D:$D,MATCH(A51,Acts!$B:$B,0))),"later",IF(B51=YEAR(INDEX(Acts!$D:$D,MATCH(A51,Acts!$B:$B,0))),"same ceremony","earlier"))</f>
        <v>later</v>
      </c>
      <c r="G51" s="5" t="s">
        <v>1750</v>
      </c>
    </row>
    <row r="52" customFormat="false" ht="15" hidden="false" customHeight="false" outlineLevel="0" collapsed="false">
      <c r="A52" s="5" t="s">
        <v>114</v>
      </c>
      <c r="B52" s="5" t="n">
        <v>1984</v>
      </c>
      <c r="C52" s="5" t="s">
        <v>1756</v>
      </c>
      <c r="D52" s="5" t="s">
        <v>1751</v>
      </c>
      <c r="E52" s="5" t="s">
        <v>52</v>
      </c>
      <c r="F52" s="5" t="str">
        <f aca="false">IF(B52&gt;YEAR(INDEX(Acts!$D:$D,MATCH(A52,Acts!$B:$B,0))),"later",IF(B52=YEAR(INDEX(Acts!$D:$D,MATCH(A52,Acts!$B:$B,0))),"same ceremony","earlier"))</f>
        <v>later</v>
      </c>
      <c r="G52" s="5" t="s">
        <v>1750</v>
      </c>
    </row>
    <row r="53" customFormat="false" ht="15" hidden="false" customHeight="false" outlineLevel="0" collapsed="false">
      <c r="A53" s="5" t="s">
        <v>117</v>
      </c>
      <c r="B53" s="5" t="n">
        <v>1982</v>
      </c>
      <c r="C53" s="5" t="s">
        <v>1740</v>
      </c>
      <c r="D53" s="5" t="s">
        <v>1757</v>
      </c>
      <c r="E53" s="5" t="s">
        <v>72</v>
      </c>
      <c r="F53" s="5" t="str">
        <f aca="false">IF(B53&gt;YEAR(INDEX(Acts!$D:$D,MATCH(A53,Acts!$B:$B,0))),"later",IF(B53=YEAR(INDEX(Acts!$D:$D,MATCH(A53,Acts!$B:$B,0))),"same ceremony","earlier"))</f>
        <v>same ceremony</v>
      </c>
      <c r="G53" s="5" t="s">
        <v>1758</v>
      </c>
    </row>
    <row r="54" customFormat="false" ht="15" hidden="false" customHeight="false" outlineLevel="0" collapsed="false">
      <c r="A54" s="5" t="s">
        <v>117</v>
      </c>
      <c r="B54" s="5" t="n">
        <v>1982</v>
      </c>
      <c r="C54" s="5" t="s">
        <v>1697</v>
      </c>
      <c r="D54" s="5" t="s">
        <v>1759</v>
      </c>
      <c r="E54" s="5" t="s">
        <v>52</v>
      </c>
      <c r="F54" s="5" t="str">
        <f aca="false">IF(B54&gt;YEAR(INDEX(Acts!$D:$D,MATCH(A54,Acts!$B:$B,0))),"later",IF(B54=YEAR(INDEX(Acts!$D:$D,MATCH(A54,Acts!$B:$B,0))),"same ceremony","earlier"))</f>
        <v>same ceremony</v>
      </c>
      <c r="G54" s="5" t="s">
        <v>1758</v>
      </c>
    </row>
    <row r="55" customFormat="false" ht="15" hidden="false" customHeight="false" outlineLevel="0" collapsed="false">
      <c r="A55" s="5" t="s">
        <v>117</v>
      </c>
      <c r="B55" s="5" t="n">
        <v>1984</v>
      </c>
      <c r="C55" s="5" t="s">
        <v>1692</v>
      </c>
      <c r="D55" s="5" t="s">
        <v>1760</v>
      </c>
      <c r="E55" s="5" t="s">
        <v>52</v>
      </c>
      <c r="F55" s="5" t="str">
        <f aca="false">IF(B55&gt;YEAR(INDEX(Acts!$D:$D,MATCH(A55,Acts!$B:$B,0))),"later",IF(B55=YEAR(INDEX(Acts!$D:$D,MATCH(A55,Acts!$B:$B,0))),"same ceremony","earlier"))</f>
        <v>later</v>
      </c>
      <c r="G55" s="5" t="s">
        <v>1758</v>
      </c>
    </row>
    <row r="56" customFormat="false" ht="15" hidden="false" customHeight="false" outlineLevel="0" collapsed="false">
      <c r="A56" s="5" t="s">
        <v>117</v>
      </c>
      <c r="B56" s="5" t="n">
        <v>1984</v>
      </c>
      <c r="C56" s="5" t="s">
        <v>1740</v>
      </c>
      <c r="D56" s="5" t="s">
        <v>1761</v>
      </c>
      <c r="E56" s="5" t="s">
        <v>52</v>
      </c>
      <c r="F56" s="5" t="str">
        <f aca="false">IF(B56&gt;YEAR(INDEX(Acts!$D:$D,MATCH(A56,Acts!$B:$B,0))),"later",IF(B56=YEAR(INDEX(Acts!$D:$D,MATCH(A56,Acts!$B:$B,0))),"same ceremony","earlier"))</f>
        <v>later</v>
      </c>
      <c r="G56" s="5" t="s">
        <v>1758</v>
      </c>
    </row>
    <row r="57" customFormat="false" ht="15" hidden="false" customHeight="false" outlineLevel="0" collapsed="false">
      <c r="A57" s="5" t="s">
        <v>117</v>
      </c>
      <c r="B57" s="5" t="n">
        <v>1984</v>
      </c>
      <c r="C57" s="5" t="s">
        <v>1762</v>
      </c>
      <c r="D57" s="5" t="s">
        <v>1763</v>
      </c>
      <c r="E57" s="5" t="s">
        <v>52</v>
      </c>
      <c r="F57" s="5" t="str">
        <f aca="false">IF(B57&gt;YEAR(INDEX(Acts!$D:$D,MATCH(A57,Acts!$B:$B,0))),"later",IF(B57=YEAR(INDEX(Acts!$D:$D,MATCH(A57,Acts!$B:$B,0))),"same ceremony","earlier"))</f>
        <v>later</v>
      </c>
      <c r="G57" s="5" t="s">
        <v>1758</v>
      </c>
    </row>
    <row r="58" customFormat="false" ht="15" hidden="false" customHeight="false" outlineLevel="0" collapsed="false">
      <c r="A58" s="5" t="s">
        <v>117</v>
      </c>
      <c r="B58" s="5" t="n">
        <v>1985</v>
      </c>
      <c r="C58" s="5" t="s">
        <v>1740</v>
      </c>
      <c r="D58" s="5" t="s">
        <v>785</v>
      </c>
      <c r="E58" s="5" t="s">
        <v>52</v>
      </c>
      <c r="F58" s="5" t="str">
        <f aca="false">IF(B58&gt;YEAR(INDEX(Acts!$D:$D,MATCH(A58,Acts!$B:$B,0))),"later",IF(B58=YEAR(INDEX(Acts!$D:$D,MATCH(A58,Acts!$B:$B,0))),"same ceremony","earlier"))</f>
        <v>later</v>
      </c>
      <c r="G58" s="5" t="s">
        <v>1758</v>
      </c>
    </row>
    <row r="59" customFormat="false" ht="15" hidden="false" customHeight="false" outlineLevel="0" collapsed="false">
      <c r="A59" s="5" t="s">
        <v>117</v>
      </c>
      <c r="B59" s="5" t="n">
        <v>1985</v>
      </c>
      <c r="C59" s="5" t="s">
        <v>1734</v>
      </c>
      <c r="D59" s="5" t="s">
        <v>1764</v>
      </c>
      <c r="E59" s="5" t="s">
        <v>72</v>
      </c>
      <c r="F59" s="5" t="str">
        <f aca="false">IF(B59&gt;YEAR(INDEX(Acts!$D:$D,MATCH(A59,Acts!$B:$B,0))),"later",IF(B59=YEAR(INDEX(Acts!$D:$D,MATCH(A59,Acts!$B:$B,0))),"same ceremony","earlier"))</f>
        <v>later</v>
      </c>
      <c r="G59" s="5" t="s">
        <v>1758</v>
      </c>
    </row>
    <row r="60" customFormat="false" ht="15" hidden="false" customHeight="false" outlineLevel="0" collapsed="false">
      <c r="A60" s="5" t="s">
        <v>117</v>
      </c>
      <c r="B60" s="5" t="n">
        <v>1985</v>
      </c>
      <c r="C60" s="5" t="s">
        <v>1762</v>
      </c>
      <c r="D60" s="5" t="s">
        <v>1765</v>
      </c>
      <c r="E60" s="5" t="s">
        <v>52</v>
      </c>
      <c r="F60" s="5" t="str">
        <f aca="false">IF(B60&gt;YEAR(INDEX(Acts!$D:$D,MATCH(A60,Acts!$B:$B,0))),"later",IF(B60=YEAR(INDEX(Acts!$D:$D,MATCH(A60,Acts!$B:$B,0))),"same ceremony","earlier"))</f>
        <v>later</v>
      </c>
      <c r="G60" s="5" t="s">
        <v>1758</v>
      </c>
    </row>
    <row r="61" customFormat="false" ht="15" hidden="false" customHeight="false" outlineLevel="0" collapsed="false">
      <c r="A61" s="5" t="s">
        <v>117</v>
      </c>
      <c r="B61" s="5" t="n">
        <v>1988</v>
      </c>
      <c r="C61" s="5" t="s">
        <v>1692</v>
      </c>
      <c r="D61" s="5" t="s">
        <v>1766</v>
      </c>
      <c r="E61" s="5" t="s">
        <v>52</v>
      </c>
      <c r="F61" s="5" t="str">
        <f aca="false">IF(B61&gt;YEAR(INDEX(Acts!$D:$D,MATCH(A61,Acts!$B:$B,0))),"later",IF(B61=YEAR(INDEX(Acts!$D:$D,MATCH(A61,Acts!$B:$B,0))),"same ceremony","earlier"))</f>
        <v>later</v>
      </c>
      <c r="G61" s="5" t="s">
        <v>1758</v>
      </c>
    </row>
    <row r="62" customFormat="false" ht="15" hidden="false" customHeight="false" outlineLevel="0" collapsed="false">
      <c r="A62" s="5" t="s">
        <v>117</v>
      </c>
      <c r="B62" s="5" t="n">
        <v>1991</v>
      </c>
      <c r="C62" s="5" t="s">
        <v>1697</v>
      </c>
      <c r="D62" s="5" t="s">
        <v>1767</v>
      </c>
      <c r="E62" s="5" t="s">
        <v>52</v>
      </c>
      <c r="F62" s="5" t="str">
        <f aca="false">IF(B62&gt;YEAR(INDEX(Acts!$D:$D,MATCH(A62,Acts!$B:$B,0))),"later",IF(B62=YEAR(INDEX(Acts!$D:$D,MATCH(A62,Acts!$B:$B,0))),"same ceremony","earlier"))</f>
        <v>later</v>
      </c>
      <c r="G62" s="5" t="s">
        <v>1758</v>
      </c>
    </row>
    <row r="63" customFormat="false" ht="15" hidden="false" customHeight="false" outlineLevel="0" collapsed="false">
      <c r="A63" s="5" t="s">
        <v>117</v>
      </c>
      <c r="B63" s="5" t="n">
        <v>1991</v>
      </c>
      <c r="C63" s="5" t="s">
        <v>1734</v>
      </c>
      <c r="D63" s="5" t="s">
        <v>1768</v>
      </c>
      <c r="E63" s="5" t="s">
        <v>52</v>
      </c>
      <c r="F63" s="5" t="str">
        <f aca="false">IF(B63&gt;YEAR(INDEX(Acts!$D:$D,MATCH(A63,Acts!$B:$B,0))),"later",IF(B63=YEAR(INDEX(Acts!$D:$D,MATCH(A63,Acts!$B:$B,0))),"same ceremony","earlier"))</f>
        <v>later</v>
      </c>
      <c r="G63" s="5" t="s">
        <v>1758</v>
      </c>
    </row>
    <row r="64" customFormat="false" ht="15" hidden="false" customHeight="false" outlineLevel="0" collapsed="false">
      <c r="A64" s="5" t="s">
        <v>117</v>
      </c>
      <c r="B64" s="5" t="n">
        <v>1995</v>
      </c>
      <c r="C64" s="5" t="s">
        <v>1769</v>
      </c>
      <c r="D64" s="5" t="s">
        <v>1770</v>
      </c>
      <c r="E64" s="5" t="s">
        <v>52</v>
      </c>
      <c r="F64" s="5" t="str">
        <f aca="false">IF(B64&gt;YEAR(INDEX(Acts!$D:$D,MATCH(A64,Acts!$B:$B,0))),"later",IF(B64=YEAR(INDEX(Acts!$D:$D,MATCH(A64,Acts!$B:$B,0))),"same ceremony","earlier"))</f>
        <v>later</v>
      </c>
      <c r="G64" s="5" t="s">
        <v>1758</v>
      </c>
    </row>
    <row r="65" customFormat="false" ht="15" hidden="false" customHeight="false" outlineLevel="0" collapsed="false">
      <c r="A65" s="5" t="s">
        <v>117</v>
      </c>
      <c r="B65" s="5" t="n">
        <v>1996</v>
      </c>
      <c r="C65" s="5" t="s">
        <v>1771</v>
      </c>
      <c r="D65" s="5" t="s">
        <v>1772</v>
      </c>
      <c r="E65" s="5" t="s">
        <v>52</v>
      </c>
      <c r="F65" s="5" t="str">
        <f aca="false">IF(B65&gt;YEAR(INDEX(Acts!$D:$D,MATCH(A65,Acts!$B:$B,0))),"later",IF(B65=YEAR(INDEX(Acts!$D:$D,MATCH(A65,Acts!$B:$B,0))),"same ceremony","earlier"))</f>
        <v>later</v>
      </c>
      <c r="G65" s="5" t="s">
        <v>1758</v>
      </c>
    </row>
    <row r="66" customFormat="false" ht="15" hidden="false" customHeight="false" outlineLevel="0" collapsed="false">
      <c r="A66" s="5" t="s">
        <v>120</v>
      </c>
      <c r="B66" s="5" t="n">
        <v>1983</v>
      </c>
      <c r="C66" s="5" t="s">
        <v>1773</v>
      </c>
      <c r="D66" s="5" t="s">
        <v>1774</v>
      </c>
      <c r="E66" s="5" t="s">
        <v>72</v>
      </c>
      <c r="F66" s="5" t="str">
        <f aca="false">IF(B66&gt;YEAR(INDEX(Acts!$D:$D,MATCH(A66,Acts!$B:$B,0))),"later",IF(B66=YEAR(INDEX(Acts!$D:$D,MATCH(A66,Acts!$B:$B,0))),"same ceremony","earlier"))</f>
        <v>same ceremony</v>
      </c>
      <c r="G66" s="5" t="s">
        <v>1775</v>
      </c>
    </row>
    <row r="67" customFormat="false" ht="15" hidden="false" customHeight="false" outlineLevel="0" collapsed="false">
      <c r="A67" s="5" t="s">
        <v>120</v>
      </c>
      <c r="B67" s="5" t="n">
        <v>1984</v>
      </c>
      <c r="C67" s="5" t="s">
        <v>1773</v>
      </c>
      <c r="D67" s="5" t="s">
        <v>803</v>
      </c>
      <c r="E67" s="5" t="s">
        <v>52</v>
      </c>
      <c r="F67" s="5" t="str">
        <f aca="false">IF(B67&gt;YEAR(INDEX(Acts!$D:$D,MATCH(A67,Acts!$B:$B,0))),"later",IF(B67=YEAR(INDEX(Acts!$D:$D,MATCH(A67,Acts!$B:$B,0))),"same ceremony","earlier"))</f>
        <v>later</v>
      </c>
      <c r="G67" s="5" t="s">
        <v>1775</v>
      </c>
    </row>
    <row r="68" customFormat="false" ht="15" hidden="false" customHeight="false" outlineLevel="0" collapsed="false">
      <c r="A68" s="5" t="s">
        <v>120</v>
      </c>
      <c r="B68" s="5" t="n">
        <v>1986</v>
      </c>
      <c r="C68" s="5" t="s">
        <v>1776</v>
      </c>
      <c r="D68" s="5" t="s">
        <v>1777</v>
      </c>
      <c r="E68" s="5" t="s">
        <v>72</v>
      </c>
      <c r="F68" s="5" t="str">
        <f aca="false">IF(B68&gt;YEAR(INDEX(Acts!$D:$D,MATCH(A68,Acts!$B:$B,0))),"later",IF(B68=YEAR(INDEX(Acts!$D:$D,MATCH(A68,Acts!$B:$B,0))),"same ceremony","earlier"))</f>
        <v>later</v>
      </c>
      <c r="G68" s="5" t="s">
        <v>1775</v>
      </c>
    </row>
    <row r="69" customFormat="false" ht="15" hidden="false" customHeight="false" outlineLevel="0" collapsed="false">
      <c r="A69" s="5" t="s">
        <v>123</v>
      </c>
      <c r="B69" s="5" t="n">
        <v>1988</v>
      </c>
      <c r="C69" s="5" t="s">
        <v>1773</v>
      </c>
      <c r="D69" s="5" t="s">
        <v>1778</v>
      </c>
      <c r="E69" s="5" t="s">
        <v>52</v>
      </c>
      <c r="F69" s="5" t="str">
        <f aca="false">IF(B69&gt;YEAR(INDEX(Acts!$D:$D,MATCH(A69,Acts!$B:$B,0))),"later",IF(B69=YEAR(INDEX(Acts!$D:$D,MATCH(A69,Acts!$B:$B,0))),"same ceremony","earlier"))</f>
        <v>same ceremony</v>
      </c>
      <c r="G69" s="5" t="s">
        <v>1779</v>
      </c>
    </row>
    <row r="70" customFormat="false" ht="15" hidden="false" customHeight="false" outlineLevel="0" collapsed="false">
      <c r="A70" s="5" t="s">
        <v>126</v>
      </c>
      <c r="B70" s="5" t="n">
        <v>1985</v>
      </c>
      <c r="C70" s="5" t="s">
        <v>1780</v>
      </c>
      <c r="D70" s="5" t="s">
        <v>1781</v>
      </c>
      <c r="E70" s="5" t="s">
        <v>72</v>
      </c>
      <c r="F70" s="5" t="str">
        <f aca="false">IF(B70&gt;YEAR(INDEX(Acts!$D:$D,MATCH(A70,Acts!$B:$B,0))),"later",IF(B70=YEAR(INDEX(Acts!$D:$D,MATCH(A70,Acts!$B:$B,0))),"same ceremony","earlier"))</f>
        <v>same ceremony</v>
      </c>
      <c r="G70" s="5" t="s">
        <v>1782</v>
      </c>
    </row>
    <row r="71" customFormat="false" ht="15" hidden="false" customHeight="false" outlineLevel="0" collapsed="false">
      <c r="A71" s="5" t="s">
        <v>126</v>
      </c>
      <c r="B71" s="5" t="n">
        <v>1986</v>
      </c>
      <c r="C71" s="5" t="s">
        <v>1780</v>
      </c>
      <c r="D71" s="5" t="s">
        <v>860</v>
      </c>
      <c r="E71" s="5" t="s">
        <v>72</v>
      </c>
      <c r="F71" s="5" t="str">
        <f aca="false">IF(B71&gt;YEAR(INDEX(Acts!$D:$D,MATCH(A71,Acts!$B:$B,0))),"later",IF(B71=YEAR(INDEX(Acts!$D:$D,MATCH(A71,Acts!$B:$B,0))),"same ceremony","earlier"))</f>
        <v>later</v>
      </c>
      <c r="G71" s="5" t="s">
        <v>1782</v>
      </c>
    </row>
    <row r="72" customFormat="false" ht="15" hidden="false" customHeight="false" outlineLevel="0" collapsed="false">
      <c r="A72" s="5" t="s">
        <v>126</v>
      </c>
      <c r="B72" s="5" t="n">
        <v>1987</v>
      </c>
      <c r="C72" s="5" t="s">
        <v>1780</v>
      </c>
      <c r="D72" s="5" t="s">
        <v>1783</v>
      </c>
      <c r="E72" s="5" t="s">
        <v>72</v>
      </c>
      <c r="F72" s="5" t="str">
        <f aca="false">IF(B72&gt;YEAR(INDEX(Acts!$D:$D,MATCH(A72,Acts!$B:$B,0))),"later",IF(B72=YEAR(INDEX(Acts!$D:$D,MATCH(A72,Acts!$B:$B,0))),"same ceremony","earlier"))</f>
        <v>later</v>
      </c>
      <c r="G72" s="5" t="s">
        <v>1782</v>
      </c>
    </row>
    <row r="73" customFormat="false" ht="15" hidden="false" customHeight="false" outlineLevel="0" collapsed="false">
      <c r="A73" s="5" t="s">
        <v>126</v>
      </c>
      <c r="B73" s="5" t="n">
        <v>1988</v>
      </c>
      <c r="C73" s="5" t="s">
        <v>1780</v>
      </c>
      <c r="D73" s="5" t="s">
        <v>867</v>
      </c>
      <c r="E73" s="5" t="s">
        <v>52</v>
      </c>
      <c r="F73" s="5" t="str">
        <f aca="false">IF(B73&gt;YEAR(INDEX(Acts!$D:$D,MATCH(A73,Acts!$B:$B,0))),"later",IF(B73=YEAR(INDEX(Acts!$D:$D,MATCH(A73,Acts!$B:$B,0))),"same ceremony","earlier"))</f>
        <v>later</v>
      </c>
      <c r="G73" s="5" t="s">
        <v>1782</v>
      </c>
    </row>
    <row r="74" customFormat="false" ht="15" hidden="false" customHeight="false" outlineLevel="0" collapsed="false">
      <c r="A74" s="5" t="s">
        <v>126</v>
      </c>
      <c r="B74" s="5" t="n">
        <v>1989</v>
      </c>
      <c r="C74" s="5" t="s">
        <v>1780</v>
      </c>
      <c r="D74" s="5" t="s">
        <v>1784</v>
      </c>
      <c r="E74" s="5" t="s">
        <v>72</v>
      </c>
      <c r="F74" s="5" t="str">
        <f aca="false">IF(B74&gt;YEAR(INDEX(Acts!$D:$D,MATCH(A74,Acts!$B:$B,0))),"later",IF(B74=YEAR(INDEX(Acts!$D:$D,MATCH(A74,Acts!$B:$B,0))),"same ceremony","earlier"))</f>
        <v>later</v>
      </c>
      <c r="G74" s="5" t="s">
        <v>1782</v>
      </c>
    </row>
    <row r="75" customFormat="false" ht="15" hidden="false" customHeight="false" outlineLevel="0" collapsed="false">
      <c r="A75" s="5" t="s">
        <v>126</v>
      </c>
      <c r="B75" s="5" t="n">
        <v>1990</v>
      </c>
      <c r="C75" s="5" t="s">
        <v>1780</v>
      </c>
      <c r="D75" s="5" t="s">
        <v>1785</v>
      </c>
      <c r="E75" s="5" t="s">
        <v>52</v>
      </c>
      <c r="F75" s="5" t="str">
        <f aca="false">IF(B75&gt;YEAR(INDEX(Acts!$D:$D,MATCH(A75,Acts!$B:$B,0))),"later",IF(B75=YEAR(INDEX(Acts!$D:$D,MATCH(A75,Acts!$B:$B,0))),"same ceremony","earlier"))</f>
        <v>later</v>
      </c>
      <c r="G75" s="5" t="s">
        <v>1782</v>
      </c>
    </row>
    <row r="76" customFormat="false" ht="15" hidden="false" customHeight="false" outlineLevel="0" collapsed="false">
      <c r="A76" s="5" t="s">
        <v>126</v>
      </c>
      <c r="B76" s="5" t="n">
        <v>1991</v>
      </c>
      <c r="C76" s="5" t="s">
        <v>1780</v>
      </c>
      <c r="D76" s="5" t="s">
        <v>1786</v>
      </c>
      <c r="E76" s="5" t="s">
        <v>52</v>
      </c>
      <c r="F76" s="5" t="str">
        <f aca="false">IF(B76&gt;YEAR(INDEX(Acts!$D:$D,MATCH(A76,Acts!$B:$B,0))),"later",IF(B76=YEAR(INDEX(Acts!$D:$D,MATCH(A76,Acts!$B:$B,0))),"same ceremony","earlier"))</f>
        <v>later</v>
      </c>
      <c r="G76" s="5" t="s">
        <v>1782</v>
      </c>
    </row>
    <row r="77" customFormat="false" ht="15" hidden="false" customHeight="false" outlineLevel="0" collapsed="false">
      <c r="A77" s="5" t="s">
        <v>126</v>
      </c>
      <c r="B77" s="5" t="n">
        <v>1992</v>
      </c>
      <c r="C77" s="5" t="s">
        <v>1780</v>
      </c>
      <c r="D77" s="5" t="s">
        <v>1787</v>
      </c>
      <c r="E77" s="5" t="s">
        <v>72</v>
      </c>
      <c r="F77" s="5" t="str">
        <f aca="false">IF(B77&gt;YEAR(INDEX(Acts!$D:$D,MATCH(A77,Acts!$B:$B,0))),"later",IF(B77=YEAR(INDEX(Acts!$D:$D,MATCH(A77,Acts!$B:$B,0))),"same ceremony","earlier"))</f>
        <v>later</v>
      </c>
      <c r="G77" s="5" t="s">
        <v>1782</v>
      </c>
    </row>
    <row r="78" customFormat="false" ht="15" hidden="false" customHeight="false" outlineLevel="0" collapsed="false">
      <c r="A78" s="5" t="s">
        <v>135</v>
      </c>
      <c r="B78" s="5" t="n">
        <v>1980</v>
      </c>
      <c r="C78" s="5" t="s">
        <v>1723</v>
      </c>
      <c r="D78" s="5" t="s">
        <v>1788</v>
      </c>
      <c r="E78" s="5" t="s">
        <v>52</v>
      </c>
      <c r="F78" s="5" t="str">
        <f aca="false">IF(B78&gt;YEAR(INDEX(Acts!$D:$D,MATCH(A78,Acts!$B:$B,0))),"later",IF(B78=YEAR(INDEX(Acts!$D:$D,MATCH(A78,Acts!$B:$B,0))),"same ceremony","earlier"))</f>
        <v>same ceremony</v>
      </c>
      <c r="G78" s="5" t="s">
        <v>1789</v>
      </c>
    </row>
    <row r="79" customFormat="false" ht="15" hidden="false" customHeight="false" outlineLevel="0" collapsed="false">
      <c r="A79" s="5" t="s">
        <v>138</v>
      </c>
      <c r="B79" s="5" t="n">
        <v>1982</v>
      </c>
      <c r="C79" s="5" t="s">
        <v>1740</v>
      </c>
      <c r="D79" s="5" t="s">
        <v>971</v>
      </c>
      <c r="E79" s="5" t="s">
        <v>52</v>
      </c>
      <c r="F79" s="5" t="str">
        <f aca="false">IF(B79&gt;YEAR(INDEX(Acts!$D:$D,MATCH(A79,Acts!$B:$B,0))),"later",IF(B79=YEAR(INDEX(Acts!$D:$D,MATCH(A79,Acts!$B:$B,0))),"same ceremony","earlier"))</f>
        <v>same ceremony</v>
      </c>
      <c r="G79" s="5" t="s">
        <v>1790</v>
      </c>
    </row>
    <row r="80" customFormat="false" ht="15" hidden="false" customHeight="false" outlineLevel="0" collapsed="false">
      <c r="A80" s="5" t="s">
        <v>138</v>
      </c>
      <c r="B80" s="5" t="n">
        <v>1983</v>
      </c>
      <c r="C80" s="5" t="s">
        <v>1740</v>
      </c>
      <c r="D80" s="5" t="s">
        <v>1791</v>
      </c>
      <c r="E80" s="5" t="s">
        <v>52</v>
      </c>
      <c r="F80" s="5" t="str">
        <f aca="false">IF(B80&gt;YEAR(INDEX(Acts!$D:$D,MATCH(A80,Acts!$B:$B,0))),"later",IF(B80=YEAR(INDEX(Acts!$D:$D,MATCH(A80,Acts!$B:$B,0))),"same ceremony","earlier"))</f>
        <v>later</v>
      </c>
      <c r="G80" s="5" t="s">
        <v>1790</v>
      </c>
    </row>
    <row r="81" customFormat="false" ht="15" hidden="false" customHeight="false" outlineLevel="0" collapsed="false">
      <c r="A81" s="5" t="s">
        <v>138</v>
      </c>
      <c r="B81" s="5" t="n">
        <v>1986</v>
      </c>
      <c r="C81" s="5" t="s">
        <v>1740</v>
      </c>
      <c r="D81" s="5" t="s">
        <v>981</v>
      </c>
      <c r="E81" s="5" t="s">
        <v>52</v>
      </c>
      <c r="F81" s="5" t="str">
        <f aca="false">IF(B81&gt;YEAR(INDEX(Acts!$D:$D,MATCH(A81,Acts!$B:$B,0))),"later",IF(B81=YEAR(INDEX(Acts!$D:$D,MATCH(A81,Acts!$B:$B,0))),"same ceremony","earlier"))</f>
        <v>later</v>
      </c>
      <c r="G81" s="5" t="s">
        <v>1790</v>
      </c>
    </row>
    <row r="82" customFormat="false" ht="15" hidden="false" customHeight="false" outlineLevel="0" collapsed="false">
      <c r="A82" s="5" t="s">
        <v>138</v>
      </c>
      <c r="B82" s="5" t="n">
        <v>1987</v>
      </c>
      <c r="C82" s="5" t="s">
        <v>1740</v>
      </c>
      <c r="D82" s="5" t="s">
        <v>984</v>
      </c>
      <c r="E82" s="5" t="s">
        <v>52</v>
      </c>
      <c r="F82" s="5" t="str">
        <f aca="false">IF(B82&gt;YEAR(INDEX(Acts!$D:$D,MATCH(A82,Acts!$B:$B,0))),"later",IF(B82=YEAR(INDEX(Acts!$D:$D,MATCH(A82,Acts!$B:$B,0))),"same ceremony","earlier"))</f>
        <v>later</v>
      </c>
      <c r="G82" s="5" t="s">
        <v>1790</v>
      </c>
    </row>
    <row r="83" customFormat="false" ht="15" hidden="false" customHeight="false" outlineLevel="0" collapsed="false">
      <c r="A83" s="5" t="s">
        <v>138</v>
      </c>
      <c r="B83" s="5" t="n">
        <v>1987</v>
      </c>
      <c r="C83" s="5" t="s">
        <v>1762</v>
      </c>
      <c r="D83" s="5" t="s">
        <v>1792</v>
      </c>
      <c r="E83" s="5" t="s">
        <v>52</v>
      </c>
      <c r="F83" s="5" t="str">
        <f aca="false">IF(B83&gt;YEAR(INDEX(Acts!$D:$D,MATCH(A83,Acts!$B:$B,0))),"later",IF(B83=YEAR(INDEX(Acts!$D:$D,MATCH(A83,Acts!$B:$B,0))),"same ceremony","earlier"))</f>
        <v>later</v>
      </c>
      <c r="G83" s="5" t="s">
        <v>1790</v>
      </c>
    </row>
    <row r="84" customFormat="false" ht="15" hidden="false" customHeight="false" outlineLevel="0" collapsed="false">
      <c r="A84" s="5" t="s">
        <v>138</v>
      </c>
      <c r="B84" s="5" t="n">
        <v>1989</v>
      </c>
      <c r="C84" s="5" t="s">
        <v>1740</v>
      </c>
      <c r="D84" s="5" t="s">
        <v>987</v>
      </c>
      <c r="E84" s="5" t="s">
        <v>52</v>
      </c>
      <c r="F84" s="5" t="str">
        <f aca="false">IF(B84&gt;YEAR(INDEX(Acts!$D:$D,MATCH(A84,Acts!$B:$B,0))),"later",IF(B84=YEAR(INDEX(Acts!$D:$D,MATCH(A84,Acts!$B:$B,0))),"same ceremony","earlier"))</f>
        <v>later</v>
      </c>
      <c r="G84" s="5" t="s">
        <v>1790</v>
      </c>
    </row>
    <row r="85" customFormat="false" ht="15" hidden="false" customHeight="false" outlineLevel="0" collapsed="false">
      <c r="A85" s="5" t="s">
        <v>138</v>
      </c>
      <c r="B85" s="5" t="n">
        <v>1989</v>
      </c>
      <c r="C85" s="5" t="s">
        <v>1762</v>
      </c>
      <c r="D85" s="5" t="s">
        <v>1793</v>
      </c>
      <c r="E85" s="5" t="s">
        <v>52</v>
      </c>
      <c r="F85" s="5" t="str">
        <f aca="false">IF(B85&gt;YEAR(INDEX(Acts!$D:$D,MATCH(A85,Acts!$B:$B,0))),"later",IF(B85=YEAR(INDEX(Acts!$D:$D,MATCH(A85,Acts!$B:$B,0))),"same ceremony","earlier"))</f>
        <v>later</v>
      </c>
      <c r="G85" s="5" t="s">
        <v>1790</v>
      </c>
    </row>
    <row r="86" customFormat="false" ht="15" hidden="false" customHeight="false" outlineLevel="0" collapsed="false">
      <c r="A86" s="5" t="s">
        <v>138</v>
      </c>
      <c r="B86" s="5" t="n">
        <v>1990</v>
      </c>
      <c r="C86" s="5" t="s">
        <v>1740</v>
      </c>
      <c r="D86" s="5" t="s">
        <v>1794</v>
      </c>
      <c r="E86" s="5" t="s">
        <v>52</v>
      </c>
      <c r="F86" s="5" t="str">
        <f aca="false">IF(B86&gt;YEAR(INDEX(Acts!$D:$D,MATCH(A86,Acts!$B:$B,0))),"later",IF(B86=YEAR(INDEX(Acts!$D:$D,MATCH(A86,Acts!$B:$B,0))),"same ceremony","earlier"))</f>
        <v>later</v>
      </c>
      <c r="G86" s="5" t="s">
        <v>1790</v>
      </c>
    </row>
    <row r="87" customFormat="false" ht="15" hidden="false" customHeight="false" outlineLevel="0" collapsed="false">
      <c r="A87" s="5" t="s">
        <v>138</v>
      </c>
      <c r="B87" s="5" t="n">
        <v>1991</v>
      </c>
      <c r="C87" s="5" t="s">
        <v>1740</v>
      </c>
      <c r="D87" s="5" t="s">
        <v>1795</v>
      </c>
      <c r="E87" s="5" t="s">
        <v>72</v>
      </c>
      <c r="F87" s="5" t="str">
        <f aca="false">IF(B87&gt;YEAR(INDEX(Acts!$D:$D,MATCH(A87,Acts!$B:$B,0))),"later",IF(B87=YEAR(INDEX(Acts!$D:$D,MATCH(A87,Acts!$B:$B,0))),"same ceremony","earlier"))</f>
        <v>later</v>
      </c>
      <c r="G87" s="5" t="s">
        <v>1790</v>
      </c>
    </row>
    <row r="88" customFormat="false" ht="15" hidden="false" customHeight="false" outlineLevel="0" collapsed="false">
      <c r="A88" s="5" t="s">
        <v>138</v>
      </c>
      <c r="B88" s="5" t="n">
        <v>1992</v>
      </c>
      <c r="C88" s="5" t="s">
        <v>1740</v>
      </c>
      <c r="D88" s="5" t="s">
        <v>990</v>
      </c>
      <c r="E88" s="5" t="s">
        <v>72</v>
      </c>
      <c r="F88" s="5" t="str">
        <f aca="false">IF(B88&gt;YEAR(INDEX(Acts!$D:$D,MATCH(A88,Acts!$B:$B,0))),"later",IF(B88=YEAR(INDEX(Acts!$D:$D,MATCH(A88,Acts!$B:$B,0))),"same ceremony","earlier"))</f>
        <v>later</v>
      </c>
      <c r="G88" s="5" t="s">
        <v>1790</v>
      </c>
    </row>
    <row r="89" customFormat="false" ht="15" hidden="false" customHeight="false" outlineLevel="0" collapsed="false">
      <c r="A89" s="5" t="s">
        <v>138</v>
      </c>
      <c r="B89" s="5" t="n">
        <v>1992</v>
      </c>
      <c r="C89" s="5" t="s">
        <v>1762</v>
      </c>
      <c r="D89" s="5" t="s">
        <v>1796</v>
      </c>
      <c r="E89" s="5" t="s">
        <v>72</v>
      </c>
      <c r="F89" s="5" t="str">
        <f aca="false">IF(B89&gt;YEAR(INDEX(Acts!$D:$D,MATCH(A89,Acts!$B:$B,0))),"later",IF(B89=YEAR(INDEX(Acts!$D:$D,MATCH(A89,Acts!$B:$B,0))),"same ceremony","earlier"))</f>
        <v>later</v>
      </c>
      <c r="G89" s="5" t="s">
        <v>1790</v>
      </c>
    </row>
    <row r="90" customFormat="false" ht="15" hidden="false" customHeight="false" outlineLevel="0" collapsed="false">
      <c r="A90" s="5" t="s">
        <v>138</v>
      </c>
      <c r="B90" s="5" t="n">
        <v>1992</v>
      </c>
      <c r="C90" s="5" t="s">
        <v>1797</v>
      </c>
      <c r="D90" s="5" t="s">
        <v>1798</v>
      </c>
      <c r="E90" s="5" t="s">
        <v>52</v>
      </c>
      <c r="F90" s="5" t="str">
        <f aca="false">IF(B90&gt;YEAR(INDEX(Acts!$D:$D,MATCH(A90,Acts!$B:$B,0))),"later",IF(B90=YEAR(INDEX(Acts!$D:$D,MATCH(A90,Acts!$B:$B,0))),"same ceremony","earlier"))</f>
        <v>later</v>
      </c>
      <c r="G90" s="5" t="s">
        <v>1790</v>
      </c>
    </row>
    <row r="91" customFormat="false" ht="15" hidden="false" customHeight="false" outlineLevel="0" collapsed="false">
      <c r="A91" s="5" t="s">
        <v>138</v>
      </c>
      <c r="B91" s="5" t="n">
        <v>1993</v>
      </c>
      <c r="C91" s="5" t="s">
        <v>1797</v>
      </c>
      <c r="D91" s="5" t="s">
        <v>1799</v>
      </c>
      <c r="E91" s="5" t="s">
        <v>52</v>
      </c>
      <c r="F91" s="5" t="str">
        <f aca="false">IF(B91&gt;YEAR(INDEX(Acts!$D:$D,MATCH(A91,Acts!$B:$B,0))),"later",IF(B91=YEAR(INDEX(Acts!$D:$D,MATCH(A91,Acts!$B:$B,0))),"same ceremony","earlier"))</f>
        <v>later</v>
      </c>
      <c r="G91" s="5" t="s">
        <v>1790</v>
      </c>
    </row>
    <row r="92" customFormat="false" ht="15" hidden="false" customHeight="false" outlineLevel="0" collapsed="false">
      <c r="A92" s="5" t="s">
        <v>138</v>
      </c>
      <c r="B92" s="5" t="n">
        <v>1994</v>
      </c>
      <c r="C92" s="5" t="s">
        <v>1740</v>
      </c>
      <c r="D92" s="5" t="s">
        <v>1800</v>
      </c>
      <c r="E92" s="5" t="s">
        <v>52</v>
      </c>
      <c r="F92" s="5" t="str">
        <f aca="false">IF(B92&gt;YEAR(INDEX(Acts!$D:$D,MATCH(A92,Acts!$B:$B,0))),"later",IF(B92=YEAR(INDEX(Acts!$D:$D,MATCH(A92,Acts!$B:$B,0))),"same ceremony","earlier"))</f>
        <v>later</v>
      </c>
      <c r="G92" s="5" t="s">
        <v>1790</v>
      </c>
    </row>
    <row r="93" customFormat="false" ht="15" hidden="false" customHeight="false" outlineLevel="0" collapsed="false">
      <c r="A93" s="5" t="s">
        <v>138</v>
      </c>
      <c r="B93" s="5" t="n">
        <v>1994</v>
      </c>
      <c r="C93" s="5" t="s">
        <v>1762</v>
      </c>
      <c r="D93" s="5" t="s">
        <v>1801</v>
      </c>
      <c r="E93" s="5" t="s">
        <v>52</v>
      </c>
      <c r="F93" s="5" t="str">
        <f aca="false">IF(B93&gt;YEAR(INDEX(Acts!$D:$D,MATCH(A93,Acts!$B:$B,0))),"later",IF(B93=YEAR(INDEX(Acts!$D:$D,MATCH(A93,Acts!$B:$B,0))),"same ceremony","earlier"))</f>
        <v>later</v>
      </c>
      <c r="G93" s="5" t="s">
        <v>1790</v>
      </c>
    </row>
    <row r="94" customFormat="false" ht="15" hidden="false" customHeight="false" outlineLevel="0" collapsed="false">
      <c r="A94" s="5" t="s">
        <v>138</v>
      </c>
      <c r="B94" s="5" t="n">
        <v>1994</v>
      </c>
      <c r="C94" s="5" t="s">
        <v>1762</v>
      </c>
      <c r="D94" s="5" t="s">
        <v>1802</v>
      </c>
      <c r="E94" s="5" t="s">
        <v>52</v>
      </c>
      <c r="F94" s="5" t="str">
        <f aca="false">IF(B94&gt;YEAR(INDEX(Acts!$D:$D,MATCH(A94,Acts!$B:$B,0))),"later",IF(B94=YEAR(INDEX(Acts!$D:$D,MATCH(A94,Acts!$B:$B,0))),"same ceremony","earlier"))</f>
        <v>later</v>
      </c>
      <c r="G94" s="5" t="s">
        <v>1790</v>
      </c>
    </row>
    <row r="95" customFormat="false" ht="15" hidden="false" customHeight="false" outlineLevel="0" collapsed="false">
      <c r="A95" s="5" t="s">
        <v>138</v>
      </c>
      <c r="B95" s="5" t="n">
        <v>1995</v>
      </c>
      <c r="C95" s="5" t="s">
        <v>1803</v>
      </c>
      <c r="D95" s="5" t="s">
        <v>1804</v>
      </c>
      <c r="E95" s="5" t="s">
        <v>52</v>
      </c>
      <c r="F95" s="5" t="str">
        <f aca="false">IF(B95&gt;YEAR(INDEX(Acts!$D:$D,MATCH(A95,Acts!$B:$B,0))),"later",IF(B95=YEAR(INDEX(Acts!$D:$D,MATCH(A95,Acts!$B:$B,0))),"same ceremony","earlier"))</f>
        <v>later</v>
      </c>
      <c r="G95" s="5" t="s">
        <v>1790</v>
      </c>
    </row>
    <row r="96" customFormat="false" ht="15" hidden="false" customHeight="false" outlineLevel="0" collapsed="false">
      <c r="A96" s="5" t="s">
        <v>138</v>
      </c>
      <c r="B96" s="5" t="n">
        <v>1995</v>
      </c>
      <c r="C96" s="5" t="s">
        <v>1805</v>
      </c>
      <c r="D96" s="5" t="s">
        <v>1806</v>
      </c>
      <c r="E96" s="5" t="s">
        <v>52</v>
      </c>
      <c r="F96" s="5" t="str">
        <f aca="false">IF(B96&gt;YEAR(INDEX(Acts!$D:$D,MATCH(A96,Acts!$B:$B,0))),"later",IF(B96=YEAR(INDEX(Acts!$D:$D,MATCH(A96,Acts!$B:$B,0))),"same ceremony","earlier"))</f>
        <v>later</v>
      </c>
      <c r="G96" s="5" t="s">
        <v>1790</v>
      </c>
    </row>
    <row r="97" customFormat="false" ht="15" hidden="false" customHeight="false" outlineLevel="0" collapsed="false">
      <c r="A97" s="5" t="s">
        <v>138</v>
      </c>
      <c r="B97" s="5" t="n">
        <v>1995</v>
      </c>
      <c r="C97" s="5" t="s">
        <v>1807</v>
      </c>
      <c r="D97" s="5" t="s">
        <v>1808</v>
      </c>
      <c r="E97" s="5" t="s">
        <v>52</v>
      </c>
      <c r="F97" s="5" t="str">
        <f aca="false">IF(B97&gt;YEAR(INDEX(Acts!$D:$D,MATCH(A97,Acts!$B:$B,0))),"later",IF(B97=YEAR(INDEX(Acts!$D:$D,MATCH(A97,Acts!$B:$B,0))),"same ceremony","earlier"))</f>
        <v>later</v>
      </c>
      <c r="G97" s="5" t="s">
        <v>1790</v>
      </c>
    </row>
    <row r="98" customFormat="false" ht="15" hidden="false" customHeight="false" outlineLevel="0" collapsed="false">
      <c r="A98" s="5" t="s">
        <v>138</v>
      </c>
      <c r="B98" s="5" t="n">
        <v>1995</v>
      </c>
      <c r="C98" s="5" t="s">
        <v>1809</v>
      </c>
      <c r="D98" s="5" t="s">
        <v>996</v>
      </c>
      <c r="E98" s="5" t="s">
        <v>52</v>
      </c>
      <c r="F98" s="5" t="str">
        <f aca="false">IF(B98&gt;YEAR(INDEX(Acts!$D:$D,MATCH(A98,Acts!$B:$B,0))),"later",IF(B98=YEAR(INDEX(Acts!$D:$D,MATCH(A98,Acts!$B:$B,0))),"same ceremony","earlier"))</f>
        <v>later</v>
      </c>
      <c r="G98" s="5" t="s">
        <v>1790</v>
      </c>
    </row>
    <row r="99" customFormat="false" ht="15" hidden="false" customHeight="false" outlineLevel="0" collapsed="false">
      <c r="A99" s="5" t="s">
        <v>138</v>
      </c>
      <c r="B99" s="5" t="n">
        <v>1997</v>
      </c>
      <c r="C99" s="5" t="s">
        <v>1803</v>
      </c>
      <c r="D99" s="5" t="s">
        <v>1003</v>
      </c>
      <c r="E99" s="5" t="s">
        <v>72</v>
      </c>
      <c r="F99" s="5" t="str">
        <f aca="false">IF(B99&gt;YEAR(INDEX(Acts!$D:$D,MATCH(A99,Acts!$B:$B,0))),"later",IF(B99=YEAR(INDEX(Acts!$D:$D,MATCH(A99,Acts!$B:$B,0))),"same ceremony","earlier"))</f>
        <v>later</v>
      </c>
      <c r="G99" s="5" t="s">
        <v>1790</v>
      </c>
    </row>
    <row r="100" customFormat="false" ht="15" hidden="false" customHeight="false" outlineLevel="0" collapsed="false">
      <c r="A100" s="5" t="s">
        <v>138</v>
      </c>
      <c r="B100" s="5" t="n">
        <v>1997</v>
      </c>
      <c r="C100" s="5" t="s">
        <v>1762</v>
      </c>
      <c r="D100" s="5" t="s">
        <v>1810</v>
      </c>
      <c r="E100" s="5" t="s">
        <v>52</v>
      </c>
      <c r="F100" s="5" t="str">
        <f aca="false">IF(B100&gt;YEAR(INDEX(Acts!$D:$D,MATCH(A100,Acts!$B:$B,0))),"later",IF(B100=YEAR(INDEX(Acts!$D:$D,MATCH(A100,Acts!$B:$B,0))),"same ceremony","earlier"))</f>
        <v>later</v>
      </c>
      <c r="G100" s="5" t="s">
        <v>1790</v>
      </c>
    </row>
    <row r="101" customFormat="false" ht="15" hidden="false" customHeight="false" outlineLevel="0" collapsed="false">
      <c r="A101" s="5" t="s">
        <v>138</v>
      </c>
      <c r="B101" s="5" t="n">
        <v>1998</v>
      </c>
      <c r="C101" s="5" t="s">
        <v>1803</v>
      </c>
      <c r="D101" s="5" t="s">
        <v>1811</v>
      </c>
      <c r="E101" s="5" t="s">
        <v>52</v>
      </c>
      <c r="F101" s="5" t="str">
        <f aca="false">IF(B101&gt;YEAR(INDEX(Acts!$D:$D,MATCH(A101,Acts!$B:$B,0))),"later",IF(B101=YEAR(INDEX(Acts!$D:$D,MATCH(A101,Acts!$B:$B,0))),"same ceremony","earlier"))</f>
        <v>later</v>
      </c>
      <c r="G101" s="5" t="s">
        <v>1790</v>
      </c>
    </row>
    <row r="102" customFormat="false" ht="15" hidden="false" customHeight="false" outlineLevel="0" collapsed="false">
      <c r="A102" s="5" t="s">
        <v>138</v>
      </c>
      <c r="B102" s="5" t="n">
        <v>1999</v>
      </c>
      <c r="C102" s="5" t="s">
        <v>1803</v>
      </c>
      <c r="D102" s="5" t="s">
        <v>1006</v>
      </c>
      <c r="E102" s="5" t="s">
        <v>52</v>
      </c>
      <c r="F102" s="5" t="str">
        <f aca="false">IF(B102&gt;YEAR(INDEX(Acts!$D:$D,MATCH(A102,Acts!$B:$B,0))),"later",IF(B102=YEAR(INDEX(Acts!$D:$D,MATCH(A102,Acts!$B:$B,0))),"same ceremony","earlier"))</f>
        <v>later</v>
      </c>
      <c r="G102" s="5" t="s">
        <v>1790</v>
      </c>
    </row>
    <row r="103" customFormat="false" ht="15" hidden="false" customHeight="false" outlineLevel="0" collapsed="false">
      <c r="A103" s="5" t="s">
        <v>138</v>
      </c>
      <c r="B103" s="5" t="n">
        <v>1999</v>
      </c>
      <c r="C103" s="5" t="s">
        <v>1812</v>
      </c>
      <c r="D103" s="5" t="s">
        <v>1006</v>
      </c>
      <c r="E103" s="5" t="s">
        <v>52</v>
      </c>
      <c r="F103" s="5" t="str">
        <f aca="false">IF(B103&gt;YEAR(INDEX(Acts!$D:$D,MATCH(A103,Acts!$B:$B,0))),"later",IF(B103=YEAR(INDEX(Acts!$D:$D,MATCH(A103,Acts!$B:$B,0))),"same ceremony","earlier"))</f>
        <v>later</v>
      </c>
      <c r="G103" s="5" t="s">
        <v>1790</v>
      </c>
    </row>
    <row r="104" customFormat="false" ht="15" hidden="false" customHeight="false" outlineLevel="0" collapsed="false">
      <c r="A104" s="5" t="s">
        <v>138</v>
      </c>
      <c r="B104" s="5" t="n">
        <v>2003</v>
      </c>
      <c r="C104" s="5" t="s">
        <v>1812</v>
      </c>
      <c r="D104" s="5" t="s">
        <v>1813</v>
      </c>
      <c r="E104" s="5" t="s">
        <v>52</v>
      </c>
      <c r="F104" s="5" t="str">
        <f aca="false">IF(B104&gt;YEAR(INDEX(Acts!$D:$D,MATCH(A104,Acts!$B:$B,0))),"later",IF(B104=YEAR(INDEX(Acts!$D:$D,MATCH(A104,Acts!$B:$B,0))),"same ceremony","earlier"))</f>
        <v>later</v>
      </c>
      <c r="G104" s="5" t="s">
        <v>1790</v>
      </c>
    </row>
    <row r="105" customFormat="false" ht="15" hidden="false" customHeight="false" outlineLevel="0" collapsed="false">
      <c r="A105" s="5" t="s">
        <v>138</v>
      </c>
      <c r="B105" s="5" t="n">
        <v>2004</v>
      </c>
      <c r="C105" s="5" t="s">
        <v>1814</v>
      </c>
      <c r="D105" s="5" t="s">
        <v>1815</v>
      </c>
      <c r="E105" s="5" t="s">
        <v>72</v>
      </c>
      <c r="F105" s="5" t="str">
        <f aca="false">IF(B105&gt;YEAR(INDEX(Acts!$D:$D,MATCH(A105,Acts!$B:$B,0))),"later",IF(B105=YEAR(INDEX(Acts!$D:$D,MATCH(A105,Acts!$B:$B,0))),"same ceremony","earlier"))</f>
        <v>later</v>
      </c>
      <c r="G105" s="5" t="s">
        <v>1790</v>
      </c>
    </row>
    <row r="106" customFormat="false" ht="15" hidden="false" customHeight="false" outlineLevel="0" collapsed="false">
      <c r="A106" s="5" t="s">
        <v>138</v>
      </c>
      <c r="B106" s="5" t="n">
        <v>2004</v>
      </c>
      <c r="C106" s="5" t="s">
        <v>1816</v>
      </c>
      <c r="D106" s="5" t="s">
        <v>1817</v>
      </c>
      <c r="E106" s="5" t="s">
        <v>72</v>
      </c>
      <c r="F106" s="5" t="str">
        <f aca="false">IF(B106&gt;YEAR(INDEX(Acts!$D:$D,MATCH(A106,Acts!$B:$B,0))),"later",IF(B106=YEAR(INDEX(Acts!$D:$D,MATCH(A106,Acts!$B:$B,0))),"same ceremony","earlier"))</f>
        <v>later</v>
      </c>
      <c r="G106" s="5" t="s">
        <v>1790</v>
      </c>
    </row>
    <row r="107" customFormat="false" ht="15" hidden="false" customHeight="false" outlineLevel="0" collapsed="false">
      <c r="A107" s="5" t="s">
        <v>138</v>
      </c>
      <c r="B107" s="5" t="n">
        <v>2004</v>
      </c>
      <c r="C107" s="5" t="s">
        <v>1818</v>
      </c>
      <c r="D107" s="5" t="s">
        <v>1817</v>
      </c>
      <c r="E107" s="5" t="s">
        <v>52</v>
      </c>
      <c r="F107" s="5" t="str">
        <f aca="false">IF(B107&gt;YEAR(INDEX(Acts!$D:$D,MATCH(A107,Acts!$B:$B,0))),"later",IF(B107=YEAR(INDEX(Acts!$D:$D,MATCH(A107,Acts!$B:$B,0))),"same ceremony","earlier"))</f>
        <v>later</v>
      </c>
      <c r="G107" s="5" t="s">
        <v>1790</v>
      </c>
    </row>
    <row r="108" customFormat="false" ht="15" hidden="false" customHeight="false" outlineLevel="0" collapsed="false">
      <c r="A108" s="5" t="s">
        <v>138</v>
      </c>
      <c r="B108" s="5" t="n">
        <v>2004</v>
      </c>
      <c r="C108" s="5" t="s">
        <v>1803</v>
      </c>
      <c r="D108" s="5" t="s">
        <v>1819</v>
      </c>
      <c r="E108" s="5" t="s">
        <v>72</v>
      </c>
      <c r="F108" s="5" t="str">
        <f aca="false">IF(B108&gt;YEAR(INDEX(Acts!$D:$D,MATCH(A108,Acts!$B:$B,0))),"later",IF(B108=YEAR(INDEX(Acts!$D:$D,MATCH(A108,Acts!$B:$B,0))),"same ceremony","earlier"))</f>
        <v>later</v>
      </c>
      <c r="G108" s="5" t="s">
        <v>1790</v>
      </c>
    </row>
    <row r="109" customFormat="false" ht="15" hidden="false" customHeight="false" outlineLevel="0" collapsed="false">
      <c r="A109" s="5" t="s">
        <v>138</v>
      </c>
      <c r="B109" s="5" t="n">
        <v>2004</v>
      </c>
      <c r="C109" s="5" t="s">
        <v>1809</v>
      </c>
      <c r="D109" s="5" t="s">
        <v>1819</v>
      </c>
      <c r="E109" s="5" t="s">
        <v>72</v>
      </c>
      <c r="F109" s="5" t="str">
        <f aca="false">IF(B109&gt;YEAR(INDEX(Acts!$D:$D,MATCH(A109,Acts!$B:$B,0))),"later",IF(B109=YEAR(INDEX(Acts!$D:$D,MATCH(A109,Acts!$B:$B,0))),"same ceremony","earlier"))</f>
        <v>later</v>
      </c>
      <c r="G109" s="5" t="s">
        <v>1790</v>
      </c>
    </row>
    <row r="110" customFormat="false" ht="15" hidden="false" customHeight="false" outlineLevel="0" collapsed="false">
      <c r="A110" s="5" t="s">
        <v>138</v>
      </c>
      <c r="B110" s="5" t="n">
        <v>2007</v>
      </c>
      <c r="C110" s="5" t="s">
        <v>1803</v>
      </c>
      <c r="D110" s="5" t="s">
        <v>1820</v>
      </c>
      <c r="E110" s="5" t="s">
        <v>52</v>
      </c>
      <c r="F110" s="5" t="str">
        <f aca="false">IF(B110&gt;YEAR(INDEX(Acts!$D:$D,MATCH(A110,Acts!$B:$B,0))),"later",IF(B110=YEAR(INDEX(Acts!$D:$D,MATCH(A110,Acts!$B:$B,0))),"same ceremony","earlier"))</f>
        <v>later</v>
      </c>
      <c r="G110" s="5" t="s">
        <v>1790</v>
      </c>
    </row>
    <row r="111" customFormat="false" ht="15" hidden="false" customHeight="false" outlineLevel="0" collapsed="false">
      <c r="A111" s="5" t="s">
        <v>155</v>
      </c>
      <c r="B111" s="5" t="n">
        <v>1981</v>
      </c>
      <c r="C111" s="5" t="s">
        <v>1688</v>
      </c>
      <c r="D111" s="5" t="s">
        <v>1821</v>
      </c>
      <c r="E111" s="5" t="s">
        <v>52</v>
      </c>
      <c r="F111" s="5" t="str">
        <f aca="false">IF(B111&gt;YEAR(INDEX(Acts!$D:$D,MATCH(A111,Acts!$B:$B,0))),"later",IF(B111=YEAR(INDEX(Acts!$D:$D,MATCH(A111,Acts!$B:$B,0))),"same ceremony","earlier"))</f>
        <v>same ceremony</v>
      </c>
      <c r="G111" s="5" t="s">
        <v>1822</v>
      </c>
    </row>
    <row r="112" customFormat="false" ht="15" hidden="false" customHeight="false" outlineLevel="0" collapsed="false">
      <c r="A112" s="5" t="s">
        <v>155</v>
      </c>
      <c r="B112" s="5" t="n">
        <v>1981</v>
      </c>
      <c r="C112" s="5" t="s">
        <v>1823</v>
      </c>
      <c r="D112" s="5" t="s">
        <v>1824</v>
      </c>
      <c r="E112" s="5" t="s">
        <v>52</v>
      </c>
      <c r="F112" s="5" t="str">
        <f aca="false">IF(B112&gt;YEAR(INDEX(Acts!$D:$D,MATCH(A112,Acts!$B:$B,0))),"later",IF(B112=YEAR(INDEX(Acts!$D:$D,MATCH(A112,Acts!$B:$B,0))),"same ceremony","earlier"))</f>
        <v>same ceremony</v>
      </c>
      <c r="G112" s="5" t="s">
        <v>1822</v>
      </c>
    </row>
    <row r="113" customFormat="false" ht="15" hidden="false" customHeight="false" outlineLevel="0" collapsed="false">
      <c r="A113" s="5" t="s">
        <v>155</v>
      </c>
      <c r="B113" s="5" t="n">
        <v>1995</v>
      </c>
      <c r="C113" s="5" t="s">
        <v>1692</v>
      </c>
      <c r="D113" s="5" t="s">
        <v>1825</v>
      </c>
      <c r="E113" s="5" t="s">
        <v>52</v>
      </c>
      <c r="F113" s="5" t="str">
        <f aca="false">IF(B113&gt;YEAR(INDEX(Acts!$D:$D,MATCH(A113,Acts!$B:$B,0))),"later",IF(B113=YEAR(INDEX(Acts!$D:$D,MATCH(A113,Acts!$B:$B,0))),"same ceremony","earlier"))</f>
        <v>later</v>
      </c>
      <c r="G113" s="5" t="s">
        <v>1822</v>
      </c>
    </row>
    <row r="114" customFormat="false" ht="15" hidden="false" customHeight="false" outlineLevel="0" collapsed="false">
      <c r="A114" s="5" t="s">
        <v>161</v>
      </c>
      <c r="B114" s="5" t="n">
        <v>1980</v>
      </c>
      <c r="C114" s="5" t="s">
        <v>1700</v>
      </c>
      <c r="D114" s="5" t="s">
        <v>1826</v>
      </c>
      <c r="E114" s="5" t="s">
        <v>52</v>
      </c>
      <c r="F114" s="5" t="str">
        <f aca="false">IF(B114&gt;YEAR(INDEX(Acts!$D:$D,MATCH(A114,Acts!$B:$B,0))),"later",IF(B114=YEAR(INDEX(Acts!$D:$D,MATCH(A114,Acts!$B:$B,0))),"same ceremony","earlier"))</f>
        <v>same ceremony</v>
      </c>
      <c r="G114" s="5" t="s">
        <v>1827</v>
      </c>
    </row>
    <row r="115" customFormat="false" ht="15" hidden="false" customHeight="false" outlineLevel="0" collapsed="false">
      <c r="A115" s="5" t="s">
        <v>161</v>
      </c>
      <c r="B115" s="5" t="n">
        <v>1980</v>
      </c>
      <c r="C115" s="5" t="s">
        <v>1705</v>
      </c>
      <c r="D115" s="5" t="s">
        <v>1826</v>
      </c>
      <c r="E115" s="5" t="s">
        <v>52</v>
      </c>
      <c r="F115" s="5" t="str">
        <f aca="false">IF(B115&gt;YEAR(INDEX(Acts!$D:$D,MATCH(A115,Acts!$B:$B,0))),"later",IF(B115=YEAR(INDEX(Acts!$D:$D,MATCH(A115,Acts!$B:$B,0))),"same ceremony","earlier"))</f>
        <v>same ceremony</v>
      </c>
      <c r="G115" s="5" t="s">
        <v>1827</v>
      </c>
    </row>
    <row r="116" customFormat="false" ht="15" hidden="false" customHeight="false" outlineLevel="0" collapsed="false">
      <c r="A116" s="5" t="s">
        <v>161</v>
      </c>
      <c r="B116" s="5" t="n">
        <v>1980</v>
      </c>
      <c r="C116" s="5" t="s">
        <v>1709</v>
      </c>
      <c r="D116" s="5" t="s">
        <v>1828</v>
      </c>
      <c r="E116" s="5" t="s">
        <v>52</v>
      </c>
      <c r="F116" s="5" t="str">
        <f aca="false">IF(B116&gt;YEAR(INDEX(Acts!$D:$D,MATCH(A116,Acts!$B:$B,0))),"later",IF(B116=YEAR(INDEX(Acts!$D:$D,MATCH(A116,Acts!$B:$B,0))),"same ceremony","earlier"))</f>
        <v>same ceremony</v>
      </c>
      <c r="G116" s="5" t="s">
        <v>1827</v>
      </c>
    </row>
    <row r="117" customFormat="false" ht="15" hidden="false" customHeight="false" outlineLevel="0" collapsed="false">
      <c r="A117" s="5" t="s">
        <v>161</v>
      </c>
      <c r="B117" s="5" t="n">
        <v>1989</v>
      </c>
      <c r="C117" s="5" t="s">
        <v>1829</v>
      </c>
      <c r="D117" s="5" t="s">
        <v>1830</v>
      </c>
      <c r="E117" s="5" t="s">
        <v>52</v>
      </c>
      <c r="F117" s="5" t="str">
        <f aca="false">IF(B117&gt;YEAR(INDEX(Acts!$D:$D,MATCH(A117,Acts!$B:$B,0))),"later",IF(B117=YEAR(INDEX(Acts!$D:$D,MATCH(A117,Acts!$B:$B,0))),"same ceremony","earlier"))</f>
        <v>later</v>
      </c>
      <c r="G117" s="5" t="s">
        <v>1827</v>
      </c>
    </row>
    <row r="118" customFormat="false" ht="15" hidden="false" customHeight="false" outlineLevel="0" collapsed="false">
      <c r="A118" s="5" t="s">
        <v>161</v>
      </c>
      <c r="B118" s="5" t="n">
        <v>1990</v>
      </c>
      <c r="C118" s="5" t="s">
        <v>1831</v>
      </c>
      <c r="D118" s="5" t="s">
        <v>1832</v>
      </c>
      <c r="E118" s="5" t="s">
        <v>72</v>
      </c>
      <c r="F118" s="5" t="str">
        <f aca="false">IF(B118&gt;YEAR(INDEX(Acts!$D:$D,MATCH(A118,Acts!$B:$B,0))),"later",IF(B118=YEAR(INDEX(Acts!$D:$D,MATCH(A118,Acts!$B:$B,0))),"same ceremony","earlier"))</f>
        <v>later</v>
      </c>
      <c r="G118" s="5" t="s">
        <v>1827</v>
      </c>
    </row>
    <row r="119" customFormat="false" ht="15" hidden="false" customHeight="false" outlineLevel="0" collapsed="false">
      <c r="A119" s="5" t="s">
        <v>161</v>
      </c>
      <c r="B119" s="5" t="n">
        <v>2001</v>
      </c>
      <c r="C119" s="5" t="s">
        <v>1833</v>
      </c>
      <c r="D119" s="5" t="s">
        <v>1210</v>
      </c>
      <c r="E119" s="5" t="s">
        <v>52</v>
      </c>
      <c r="F119" s="5" t="str">
        <f aca="false">IF(B119&gt;YEAR(INDEX(Acts!$D:$D,MATCH(A119,Acts!$B:$B,0))),"later",IF(B119=YEAR(INDEX(Acts!$D:$D,MATCH(A119,Acts!$B:$B,0))),"same ceremony","earlier"))</f>
        <v>later</v>
      </c>
      <c r="G119" s="5" t="s">
        <v>1827</v>
      </c>
    </row>
    <row r="120" customFormat="false" ht="15" hidden="false" customHeight="false" outlineLevel="0" collapsed="false">
      <c r="A120" s="5" t="s">
        <v>161</v>
      </c>
      <c r="B120" s="5" t="n">
        <v>2024</v>
      </c>
      <c r="C120" s="5" t="s">
        <v>1833</v>
      </c>
      <c r="D120" s="5" t="s">
        <v>1834</v>
      </c>
      <c r="E120" s="5" t="s">
        <v>52</v>
      </c>
      <c r="F120" s="5" t="str">
        <f aca="false">IF(B120&gt;YEAR(INDEX(Acts!$D:$D,MATCH(A120,Acts!$B:$B,0))),"later",IF(B120=YEAR(INDEX(Acts!$D:$D,MATCH(A120,Acts!$B:$B,0))),"same ceremony","earlier"))</f>
        <v>later</v>
      </c>
      <c r="G120" s="5" t="s">
        <v>1827</v>
      </c>
    </row>
    <row r="121" customFormat="false" ht="15" hidden="false" customHeight="false" outlineLevel="0" collapsed="false">
      <c r="A121" s="5" t="s">
        <v>167</v>
      </c>
      <c r="B121" s="5" t="n">
        <v>1987</v>
      </c>
      <c r="C121" s="5" t="s">
        <v>1734</v>
      </c>
      <c r="D121" s="5" t="s">
        <v>1265</v>
      </c>
      <c r="E121" s="5" t="s">
        <v>52</v>
      </c>
      <c r="F121" s="5" t="str">
        <f aca="false">IF(B121&gt;YEAR(INDEX(Acts!$D:$D,MATCH(A121,Acts!$B:$B,0))),"later",IF(B121=YEAR(INDEX(Acts!$D:$D,MATCH(A121,Acts!$B:$B,0))),"same ceremony","earlier"))</f>
        <v>later</v>
      </c>
      <c r="G121" s="5" t="s">
        <v>1835</v>
      </c>
    </row>
    <row r="122" customFormat="false" ht="15" hidden="false" customHeight="false" outlineLevel="0" collapsed="false">
      <c r="A122" s="5" t="s">
        <v>167</v>
      </c>
      <c r="B122" s="5" t="n">
        <v>1994</v>
      </c>
      <c r="C122" s="5" t="s">
        <v>1734</v>
      </c>
      <c r="D122" s="5" t="s">
        <v>1836</v>
      </c>
      <c r="E122" s="5" t="s">
        <v>72</v>
      </c>
      <c r="F122" s="5" t="str">
        <f aca="false">IF(B122&gt;YEAR(INDEX(Acts!$D:$D,MATCH(A122,Acts!$B:$B,0))),"later",IF(B122=YEAR(INDEX(Acts!$D:$D,MATCH(A122,Acts!$B:$B,0))),"same ceremony","earlier"))</f>
        <v>later</v>
      </c>
      <c r="G122" s="5" t="s">
        <v>1835</v>
      </c>
    </row>
    <row r="123" customFormat="false" ht="15" hidden="false" customHeight="false" outlineLevel="0" collapsed="false">
      <c r="A123" s="5" t="s">
        <v>167</v>
      </c>
      <c r="B123" s="5" t="n">
        <v>1995</v>
      </c>
      <c r="C123" s="5" t="s">
        <v>1734</v>
      </c>
      <c r="D123" s="5" t="s">
        <v>1837</v>
      </c>
      <c r="E123" s="5" t="s">
        <v>52</v>
      </c>
      <c r="F123" s="5" t="str">
        <f aca="false">IF(B123&gt;YEAR(INDEX(Acts!$D:$D,MATCH(A123,Acts!$B:$B,0))),"later",IF(B123=YEAR(INDEX(Acts!$D:$D,MATCH(A123,Acts!$B:$B,0))),"same ceremony","earlier"))</f>
        <v>later</v>
      </c>
      <c r="G123" s="5" t="s">
        <v>1835</v>
      </c>
    </row>
    <row r="124" customFormat="false" ht="15" hidden="false" customHeight="false" outlineLevel="0" collapsed="false">
      <c r="A124" s="5" t="s">
        <v>167</v>
      </c>
      <c r="B124" s="5" t="n">
        <v>2002</v>
      </c>
      <c r="C124" s="5" t="s">
        <v>1838</v>
      </c>
      <c r="D124" s="5" t="s">
        <v>1273</v>
      </c>
      <c r="E124" s="5" t="s">
        <v>72</v>
      </c>
      <c r="F124" s="5" t="str">
        <f aca="false">IF(B124&gt;YEAR(INDEX(Acts!$D:$D,MATCH(A124,Acts!$B:$B,0))),"later",IF(B124=YEAR(INDEX(Acts!$D:$D,MATCH(A124,Acts!$B:$B,0))),"same ceremony","earlier"))</f>
        <v>later</v>
      </c>
      <c r="G124" s="5" t="s">
        <v>1835</v>
      </c>
    </row>
    <row r="125" customFormat="false" ht="15" hidden="false" customHeight="false" outlineLevel="0" collapsed="false">
      <c r="A125" s="5" t="s">
        <v>167</v>
      </c>
      <c r="B125" s="5" t="n">
        <v>2002</v>
      </c>
      <c r="C125" s="5" t="s">
        <v>1839</v>
      </c>
      <c r="D125" s="5" t="s">
        <v>1840</v>
      </c>
      <c r="E125" s="5" t="s">
        <v>52</v>
      </c>
      <c r="F125" s="5" t="str">
        <f aca="false">IF(B125&gt;YEAR(INDEX(Acts!$D:$D,MATCH(A125,Acts!$B:$B,0))),"later",IF(B125=YEAR(INDEX(Acts!$D:$D,MATCH(A125,Acts!$B:$B,0))),"same ceremony","earlier"))</f>
        <v>later</v>
      </c>
      <c r="G125" s="5" t="s">
        <v>1835</v>
      </c>
    </row>
    <row r="126" customFormat="false" ht="15" hidden="false" customHeight="false" outlineLevel="0" collapsed="false">
      <c r="A126" s="5" t="s">
        <v>167</v>
      </c>
      <c r="B126" s="5" t="n">
        <v>2011</v>
      </c>
      <c r="C126" s="5" t="s">
        <v>1841</v>
      </c>
      <c r="D126" s="5" t="s">
        <v>1842</v>
      </c>
      <c r="E126" s="5" t="s">
        <v>72</v>
      </c>
      <c r="F126" s="5" t="str">
        <f aca="false">IF(B126&gt;YEAR(INDEX(Acts!$D:$D,MATCH(A126,Acts!$B:$B,0))),"later",IF(B126=YEAR(INDEX(Acts!$D:$D,MATCH(A126,Acts!$B:$B,0))),"same ceremony","earlier"))</f>
        <v>later</v>
      </c>
      <c r="G126" s="5" t="s">
        <v>1835</v>
      </c>
    </row>
    <row r="127" customFormat="false" ht="15" hidden="false" customHeight="false" outlineLevel="0" collapsed="false">
      <c r="A127" s="5" t="s">
        <v>167</v>
      </c>
      <c r="B127" s="5" t="n">
        <v>2011</v>
      </c>
      <c r="C127" s="5" t="s">
        <v>1843</v>
      </c>
      <c r="D127" s="5" t="s">
        <v>1844</v>
      </c>
      <c r="E127" s="5" t="s">
        <v>52</v>
      </c>
      <c r="F127" s="5" t="str">
        <f aca="false">IF(B127&gt;YEAR(INDEX(Acts!$D:$D,MATCH(A127,Acts!$B:$B,0))),"later",IF(B127=YEAR(INDEX(Acts!$D:$D,MATCH(A127,Acts!$B:$B,0))),"same ceremony","earlier"))</f>
        <v>later</v>
      </c>
      <c r="G127" s="5" t="s">
        <v>1835</v>
      </c>
    </row>
    <row r="128" customFormat="false" ht="15" hidden="false" customHeight="false" outlineLevel="0" collapsed="false">
      <c r="A128" s="5" t="s">
        <v>167</v>
      </c>
      <c r="B128" s="5" t="n">
        <v>2013</v>
      </c>
      <c r="C128" s="5" t="s">
        <v>1845</v>
      </c>
      <c r="D128" s="5" t="s">
        <v>1846</v>
      </c>
      <c r="E128" s="5" t="s">
        <v>52</v>
      </c>
      <c r="F128" s="5" t="str">
        <f aca="false">IF(B128&gt;YEAR(INDEX(Acts!$D:$D,MATCH(A128,Acts!$B:$B,0))),"later",IF(B128=YEAR(INDEX(Acts!$D:$D,MATCH(A128,Acts!$B:$B,0))),"same ceremony","earlier"))</f>
        <v>later</v>
      </c>
      <c r="G128" s="5" t="s">
        <v>1835</v>
      </c>
    </row>
    <row r="129" customFormat="false" ht="15" hidden="false" customHeight="false" outlineLevel="0" collapsed="false">
      <c r="A129" s="5" t="s">
        <v>170</v>
      </c>
      <c r="B129" s="5" t="n">
        <v>1982</v>
      </c>
      <c r="C129" s="5" t="s">
        <v>1705</v>
      </c>
      <c r="D129" s="5" t="s">
        <v>1847</v>
      </c>
      <c r="E129" s="5" t="s">
        <v>52</v>
      </c>
      <c r="F129" s="5" t="str">
        <f aca="false">IF(B129&gt;YEAR(INDEX(Acts!$D:$D,MATCH(A129,Acts!$B:$B,0))),"later",IF(B129=YEAR(INDEX(Acts!$D:$D,MATCH(A129,Acts!$B:$B,0))),"same ceremony","earlier"))</f>
        <v>same ceremony</v>
      </c>
      <c r="G129" s="5" t="s">
        <v>1848</v>
      </c>
    </row>
    <row r="130" customFormat="false" ht="15" hidden="false" customHeight="false" outlineLevel="0" collapsed="false">
      <c r="A130" s="5" t="s">
        <v>170</v>
      </c>
      <c r="B130" s="5" t="n">
        <v>1984</v>
      </c>
      <c r="C130" s="5" t="s">
        <v>1705</v>
      </c>
      <c r="D130" s="5" t="s">
        <v>1849</v>
      </c>
      <c r="E130" s="5" t="s">
        <v>52</v>
      </c>
      <c r="F130" s="5" t="str">
        <f aca="false">IF(B130&gt;YEAR(INDEX(Acts!$D:$D,MATCH(A130,Acts!$B:$B,0))),"later",IF(B130=YEAR(INDEX(Acts!$D:$D,MATCH(A130,Acts!$B:$B,0))),"same ceremony","earlier"))</f>
        <v>later</v>
      </c>
      <c r="G130" s="5" t="s">
        <v>1848</v>
      </c>
    </row>
    <row r="131" customFormat="false" ht="15" hidden="false" customHeight="false" outlineLevel="0" collapsed="false">
      <c r="A131" s="5" t="s">
        <v>170</v>
      </c>
      <c r="B131" s="5" t="n">
        <v>1985</v>
      </c>
      <c r="C131" s="5" t="s">
        <v>1850</v>
      </c>
      <c r="D131" s="5" t="s">
        <v>1851</v>
      </c>
      <c r="E131" s="5" t="s">
        <v>72</v>
      </c>
      <c r="F131" s="5" t="str">
        <f aca="false">IF(B131&gt;YEAR(INDEX(Acts!$D:$D,MATCH(A131,Acts!$B:$B,0))),"later",IF(B131=YEAR(INDEX(Acts!$D:$D,MATCH(A131,Acts!$B:$B,0))),"same ceremony","earlier"))</f>
        <v>later</v>
      </c>
      <c r="G131" s="5" t="s">
        <v>1848</v>
      </c>
    </row>
    <row r="132" customFormat="false" ht="15" hidden="false" customHeight="false" outlineLevel="0" collapsed="false">
      <c r="A132" s="5" t="s">
        <v>170</v>
      </c>
      <c r="B132" s="5" t="n">
        <v>1985</v>
      </c>
      <c r="C132" s="5" t="s">
        <v>1705</v>
      </c>
      <c r="D132" s="5" t="s">
        <v>1852</v>
      </c>
      <c r="E132" s="5" t="s">
        <v>52</v>
      </c>
      <c r="F132" s="5" t="str">
        <f aca="false">IF(B132&gt;YEAR(INDEX(Acts!$D:$D,MATCH(A132,Acts!$B:$B,0))),"later",IF(B132=YEAR(INDEX(Acts!$D:$D,MATCH(A132,Acts!$B:$B,0))),"same ceremony","earlier"))</f>
        <v>later</v>
      </c>
      <c r="G132" s="5" t="s">
        <v>1848</v>
      </c>
    </row>
    <row r="133" customFormat="false" ht="15" hidden="false" customHeight="false" outlineLevel="0" collapsed="false">
      <c r="A133" s="5" t="s">
        <v>170</v>
      </c>
      <c r="B133" s="5" t="n">
        <v>1988</v>
      </c>
      <c r="C133" s="5" t="s">
        <v>1734</v>
      </c>
      <c r="D133" s="5" t="s">
        <v>1853</v>
      </c>
      <c r="E133" s="5" t="s">
        <v>52</v>
      </c>
      <c r="F133" s="5" t="str">
        <f aca="false">IF(B133&gt;YEAR(INDEX(Acts!$D:$D,MATCH(A133,Acts!$B:$B,0))),"later",IF(B133=YEAR(INDEX(Acts!$D:$D,MATCH(A133,Acts!$B:$B,0))),"same ceremony","earlier"))</f>
        <v>later</v>
      </c>
      <c r="G133" s="5" t="s">
        <v>1848</v>
      </c>
    </row>
    <row r="134" customFormat="false" ht="15" hidden="false" customHeight="false" outlineLevel="0" collapsed="false">
      <c r="A134" s="5" t="s">
        <v>172</v>
      </c>
      <c r="B134" s="5" t="n">
        <v>1985</v>
      </c>
      <c r="C134" s="5" t="s">
        <v>1854</v>
      </c>
      <c r="D134" s="5" t="s">
        <v>1855</v>
      </c>
      <c r="E134" s="5" t="s">
        <v>52</v>
      </c>
      <c r="F134" s="5" t="str">
        <f aca="false">IF(B134&gt;YEAR(INDEX(Acts!$D:$D,MATCH(A134,Acts!$B:$B,0))),"later",IF(B134=YEAR(INDEX(Acts!$D:$D,MATCH(A134,Acts!$B:$B,0))),"same ceremony","earlier"))</f>
        <v>same ceremony</v>
      </c>
      <c r="G134" s="5" t="s">
        <v>1856</v>
      </c>
    </row>
    <row r="135" customFormat="false" ht="15" hidden="false" customHeight="false" outlineLevel="0" collapsed="false">
      <c r="A135" s="5" t="s">
        <v>172</v>
      </c>
      <c r="B135" s="5" t="n">
        <v>1985</v>
      </c>
      <c r="C135" s="5" t="s">
        <v>1705</v>
      </c>
      <c r="D135" s="5" t="s">
        <v>1334</v>
      </c>
      <c r="E135" s="5" t="s">
        <v>52</v>
      </c>
      <c r="F135" s="5" t="str">
        <f aca="false">IF(B135&gt;YEAR(INDEX(Acts!$D:$D,MATCH(A135,Acts!$B:$B,0))),"later",IF(B135=YEAR(INDEX(Acts!$D:$D,MATCH(A135,Acts!$B:$B,0))),"same ceremony","earlier"))</f>
        <v>same ceremony</v>
      </c>
      <c r="G135" s="5" t="s">
        <v>1856</v>
      </c>
    </row>
    <row r="136" customFormat="false" ht="15" hidden="false" customHeight="false" outlineLevel="0" collapsed="false">
      <c r="A136" s="5" t="s">
        <v>172</v>
      </c>
      <c r="B136" s="5" t="n">
        <v>1985</v>
      </c>
      <c r="C136" s="5" t="s">
        <v>1762</v>
      </c>
      <c r="D136" s="5" t="s">
        <v>1334</v>
      </c>
      <c r="E136" s="5" t="s">
        <v>52</v>
      </c>
      <c r="F136" s="5" t="str">
        <f aca="false">IF(B136&gt;YEAR(INDEX(Acts!$D:$D,MATCH(A136,Acts!$B:$B,0))),"later",IF(B136=YEAR(INDEX(Acts!$D:$D,MATCH(A136,Acts!$B:$B,0))),"same ceremony","earlier"))</f>
        <v>same ceremony</v>
      </c>
      <c r="G136" s="5" t="s">
        <v>1856</v>
      </c>
    </row>
    <row r="137" customFormat="false" ht="15" hidden="false" customHeight="false" outlineLevel="0" collapsed="false">
      <c r="A137" s="5" t="s">
        <v>172</v>
      </c>
      <c r="B137" s="5" t="n">
        <v>2025</v>
      </c>
      <c r="C137" s="5" t="s">
        <v>1857</v>
      </c>
      <c r="D137" s="5" t="s">
        <v>1362</v>
      </c>
      <c r="E137" s="5" t="s">
        <v>52</v>
      </c>
      <c r="F137" s="5" t="str">
        <f aca="false">IF(B137&gt;YEAR(INDEX(Acts!$D:$D,MATCH(A137,Acts!$B:$B,0))),"later",IF(B137=YEAR(INDEX(Acts!$D:$D,MATCH(A137,Acts!$B:$B,0))),"same ceremony","earlier"))</f>
        <v>later</v>
      </c>
      <c r="G137" s="5" t="s">
        <v>1856</v>
      </c>
    </row>
    <row r="138" customFormat="false" ht="15" hidden="false" customHeight="false" outlineLevel="0" collapsed="false">
      <c r="A138" s="5" t="s">
        <v>172</v>
      </c>
      <c r="B138" s="5" t="n">
        <v>2025</v>
      </c>
      <c r="C138" s="5" t="s">
        <v>1858</v>
      </c>
      <c r="D138" s="5" t="s">
        <v>1859</v>
      </c>
      <c r="E138" s="5" t="s">
        <v>72</v>
      </c>
      <c r="F138" s="5" t="str">
        <f aca="false">IF(B138&gt;YEAR(INDEX(Acts!$D:$D,MATCH(A138,Acts!$B:$B,0))),"later",IF(B138=YEAR(INDEX(Acts!$D:$D,MATCH(A138,Acts!$B:$B,0))),"same ceremony","earlier"))</f>
        <v>later</v>
      </c>
      <c r="G138" s="5" t="s">
        <v>1856</v>
      </c>
    </row>
    <row r="139" customFormat="false" ht="15" hidden="false" customHeight="false" outlineLevel="0" collapsed="false">
      <c r="A139" s="5" t="s">
        <v>175</v>
      </c>
      <c r="B139" s="5" t="n">
        <v>1987</v>
      </c>
      <c r="C139" s="5" t="s">
        <v>1692</v>
      </c>
      <c r="D139" s="5" t="s">
        <v>1860</v>
      </c>
      <c r="E139" s="5" t="s">
        <v>52</v>
      </c>
      <c r="F139" s="5" t="str">
        <f aca="false">IF(B139&gt;YEAR(INDEX(Acts!$D:$D,MATCH(A139,Acts!$B:$B,0))),"later",IF(B139=YEAR(INDEX(Acts!$D:$D,MATCH(A139,Acts!$B:$B,0))),"same ceremony","earlier"))</f>
        <v>same ceremony</v>
      </c>
      <c r="G139" s="5" t="s">
        <v>1861</v>
      </c>
    </row>
    <row r="140" customFormat="false" ht="15" hidden="false" customHeight="false" outlineLevel="0" collapsed="false">
      <c r="A140" s="5" t="s">
        <v>175</v>
      </c>
      <c r="B140" s="5" t="n">
        <v>1990</v>
      </c>
      <c r="C140" s="5" t="s">
        <v>1692</v>
      </c>
      <c r="D140" s="5" t="s">
        <v>1862</v>
      </c>
      <c r="E140" s="5" t="s">
        <v>52</v>
      </c>
      <c r="F140" s="5" t="str">
        <f aca="false">IF(B140&gt;YEAR(INDEX(Acts!$D:$D,MATCH(A140,Acts!$B:$B,0))),"later",IF(B140=YEAR(INDEX(Acts!$D:$D,MATCH(A140,Acts!$B:$B,0))),"same ceremony","earlier"))</f>
        <v>later</v>
      </c>
      <c r="G140" s="5" t="s">
        <v>1861</v>
      </c>
    </row>
    <row r="141" customFormat="false" ht="15" hidden="false" customHeight="false" outlineLevel="0" collapsed="false">
      <c r="A141" s="5" t="s">
        <v>178</v>
      </c>
      <c r="B141" s="5" t="n">
        <v>1990</v>
      </c>
      <c r="C141" s="5" t="s">
        <v>1797</v>
      </c>
      <c r="D141" s="5" t="s">
        <v>1863</v>
      </c>
      <c r="E141" s="5" t="s">
        <v>72</v>
      </c>
      <c r="F141" s="5" t="str">
        <f aca="false">IF(B141&gt;YEAR(INDEX(Acts!$D:$D,MATCH(A141,Acts!$B:$B,0))),"later",IF(B141=YEAR(INDEX(Acts!$D:$D,MATCH(A141,Acts!$B:$B,0))),"same ceremony","earlier"))</f>
        <v>same ceremony</v>
      </c>
      <c r="G141" s="5" t="s">
        <v>1864</v>
      </c>
    </row>
    <row r="142" customFormat="false" ht="15" hidden="false" customHeight="false" outlineLevel="0" collapsed="false">
      <c r="A142" s="5" t="s">
        <v>178</v>
      </c>
      <c r="B142" s="5" t="n">
        <v>1990</v>
      </c>
      <c r="C142" s="5" t="s">
        <v>1854</v>
      </c>
      <c r="D142" s="5" t="s">
        <v>1865</v>
      </c>
      <c r="E142" s="5" t="s">
        <v>72</v>
      </c>
      <c r="F142" s="5" t="str">
        <f aca="false">IF(B142&gt;YEAR(INDEX(Acts!$D:$D,MATCH(A142,Acts!$B:$B,0))),"later",IF(B142=YEAR(INDEX(Acts!$D:$D,MATCH(A142,Acts!$B:$B,0))),"same ceremony","earlier"))</f>
        <v>same ceremony</v>
      </c>
      <c r="G142" s="5" t="s">
        <v>1864</v>
      </c>
    </row>
    <row r="143" customFormat="false" ht="15" hidden="false" customHeight="false" outlineLevel="0" collapsed="false">
      <c r="A143" s="5" t="s">
        <v>178</v>
      </c>
      <c r="B143" s="5" t="n">
        <v>1993</v>
      </c>
      <c r="C143" s="5" t="s">
        <v>1854</v>
      </c>
      <c r="D143" s="5" t="s">
        <v>1866</v>
      </c>
      <c r="E143" s="5" t="s">
        <v>52</v>
      </c>
      <c r="F143" s="5" t="str">
        <f aca="false">IF(B143&gt;YEAR(INDEX(Acts!$D:$D,MATCH(A143,Acts!$B:$B,0))),"later",IF(B143=YEAR(INDEX(Acts!$D:$D,MATCH(A143,Acts!$B:$B,0))),"same ceremony","earlier"))</f>
        <v>later</v>
      </c>
      <c r="G143" s="5" t="s">
        <v>1864</v>
      </c>
    </row>
    <row r="144" customFormat="false" ht="15" hidden="false" customHeight="false" outlineLevel="0" collapsed="false">
      <c r="A144" s="5" t="s">
        <v>184</v>
      </c>
      <c r="B144" s="5" t="n">
        <v>1988</v>
      </c>
      <c r="C144" s="5" t="s">
        <v>1692</v>
      </c>
      <c r="D144" s="5" t="s">
        <v>1867</v>
      </c>
      <c r="E144" s="5" t="s">
        <v>52</v>
      </c>
      <c r="F144" s="5" t="str">
        <f aca="false">IF(B144&gt;YEAR(INDEX(Acts!$D:$D,MATCH(A144,Acts!$B:$B,0))),"later",IF(B144=YEAR(INDEX(Acts!$D:$D,MATCH(A144,Acts!$B:$B,0))),"same ceremony","earlier"))</f>
        <v>same ceremony</v>
      </c>
      <c r="G144" s="5" t="s">
        <v>1868</v>
      </c>
    </row>
    <row r="145" customFormat="false" ht="15" hidden="false" customHeight="false" outlineLevel="0" collapsed="false">
      <c r="A145" s="5" t="s">
        <v>186</v>
      </c>
      <c r="B145" s="5" t="n">
        <v>1989</v>
      </c>
      <c r="C145" s="5" t="s">
        <v>1869</v>
      </c>
      <c r="D145" s="5" t="s">
        <v>186</v>
      </c>
      <c r="E145" s="5" t="s">
        <v>72</v>
      </c>
      <c r="F145" s="5" t="str">
        <f aca="false">IF(B145&gt;YEAR(INDEX(Acts!$D:$D,MATCH(A145,Acts!$B:$B,0))),"later",IF(B145=YEAR(INDEX(Acts!$D:$D,MATCH(A145,Acts!$B:$B,0))),"same ceremony","earlier"))</f>
        <v>same ceremony</v>
      </c>
      <c r="G145" s="5" t="s">
        <v>1870</v>
      </c>
    </row>
    <row r="146" customFormat="false" ht="15" hidden="false" customHeight="false" outlineLevel="0" collapsed="false">
      <c r="A146" s="5" t="s">
        <v>186</v>
      </c>
      <c r="B146" s="5" t="n">
        <v>1989</v>
      </c>
      <c r="C146" s="5" t="s">
        <v>1871</v>
      </c>
      <c r="D146" s="5" t="s">
        <v>1872</v>
      </c>
      <c r="E146" s="5" t="s">
        <v>72</v>
      </c>
      <c r="F146" s="5" t="str">
        <f aca="false">IF(B146&gt;YEAR(INDEX(Acts!$D:$D,MATCH(A146,Acts!$B:$B,0))),"later",IF(B146=YEAR(INDEX(Acts!$D:$D,MATCH(A146,Acts!$B:$B,0))),"same ceremony","earlier"))</f>
        <v>same ceremony</v>
      </c>
      <c r="G146" s="5" t="s">
        <v>1870</v>
      </c>
    </row>
    <row r="147" customFormat="false" ht="15" hidden="false" customHeight="false" outlineLevel="0" collapsed="false">
      <c r="A147" s="5" t="s">
        <v>186</v>
      </c>
      <c r="B147" s="5" t="n">
        <v>1990</v>
      </c>
      <c r="C147" s="5" t="s">
        <v>1871</v>
      </c>
      <c r="D147" s="5" t="s">
        <v>1873</v>
      </c>
      <c r="E147" s="5" t="s">
        <v>52</v>
      </c>
      <c r="F147" s="5" t="str">
        <f aca="false">IF(B147&gt;YEAR(INDEX(Acts!$D:$D,MATCH(A147,Acts!$B:$B,0))),"later",IF(B147=YEAR(INDEX(Acts!$D:$D,MATCH(A147,Acts!$B:$B,0))),"same ceremony","earlier"))</f>
        <v>later</v>
      </c>
      <c r="G147" s="5" t="s">
        <v>1870</v>
      </c>
    </row>
    <row r="148" customFormat="false" ht="15" hidden="false" customHeight="false" outlineLevel="0" collapsed="false">
      <c r="A148" s="5" t="s">
        <v>186</v>
      </c>
      <c r="B148" s="5" t="n">
        <v>1990</v>
      </c>
      <c r="C148" s="5" t="s">
        <v>1874</v>
      </c>
      <c r="D148" s="5" t="s">
        <v>1875</v>
      </c>
      <c r="E148" s="5" t="s">
        <v>72</v>
      </c>
      <c r="F148" s="5" t="str">
        <f aca="false">IF(B148&gt;YEAR(INDEX(Acts!$D:$D,MATCH(A148,Acts!$B:$B,0))),"later",IF(B148=YEAR(INDEX(Acts!$D:$D,MATCH(A148,Acts!$B:$B,0))),"same ceremony","earlier"))</f>
        <v>later</v>
      </c>
      <c r="G148" s="5" t="s">
        <v>1870</v>
      </c>
    </row>
    <row r="149" customFormat="false" ht="15" hidden="false" customHeight="false" outlineLevel="0" collapsed="false">
      <c r="A149" s="5" t="s">
        <v>186</v>
      </c>
      <c r="B149" s="5" t="n">
        <v>1991</v>
      </c>
      <c r="C149" s="5" t="s">
        <v>1876</v>
      </c>
      <c r="D149" s="5" t="s">
        <v>1500</v>
      </c>
      <c r="E149" s="5" t="s">
        <v>72</v>
      </c>
      <c r="F149" s="5" t="str">
        <f aca="false">IF(B149&gt;YEAR(INDEX(Acts!$D:$D,MATCH(A149,Acts!$B:$B,0))),"later",IF(B149=YEAR(INDEX(Acts!$D:$D,MATCH(A149,Acts!$B:$B,0))),"same ceremony","earlier"))</f>
        <v>later</v>
      </c>
      <c r="G149" s="5" t="s">
        <v>1870</v>
      </c>
    </row>
    <row r="150" customFormat="false" ht="15" hidden="false" customHeight="false" outlineLevel="0" collapsed="false">
      <c r="A150" s="5" t="s">
        <v>186</v>
      </c>
      <c r="B150" s="5" t="n">
        <v>1992</v>
      </c>
      <c r="C150" s="5" t="s">
        <v>1877</v>
      </c>
      <c r="D150" s="5" t="s">
        <v>1503</v>
      </c>
      <c r="E150" s="5" t="s">
        <v>72</v>
      </c>
      <c r="F150" s="5" t="str">
        <f aca="false">IF(B150&gt;YEAR(INDEX(Acts!$D:$D,MATCH(A150,Acts!$B:$B,0))),"later",IF(B150=YEAR(INDEX(Acts!$D:$D,MATCH(A150,Acts!$B:$B,0))),"same ceremony","earlier"))</f>
        <v>later</v>
      </c>
      <c r="G150" s="5" t="s">
        <v>1870</v>
      </c>
    </row>
    <row r="151" customFormat="false" ht="15" hidden="false" customHeight="false" outlineLevel="0" collapsed="false">
      <c r="A151" s="5" t="s">
        <v>186</v>
      </c>
      <c r="B151" s="5" t="n">
        <v>1993</v>
      </c>
      <c r="C151" s="5" t="s">
        <v>1877</v>
      </c>
      <c r="D151" s="5" t="s">
        <v>1878</v>
      </c>
      <c r="E151" s="5" t="s">
        <v>52</v>
      </c>
      <c r="F151" s="5" t="str">
        <f aca="false">IF(B151&gt;YEAR(INDEX(Acts!$D:$D,MATCH(A151,Acts!$B:$B,0))),"later",IF(B151=YEAR(INDEX(Acts!$D:$D,MATCH(A151,Acts!$B:$B,0))),"same ceremony","earlier"))</f>
        <v>later</v>
      </c>
      <c r="G151" s="5" t="s">
        <v>1870</v>
      </c>
    </row>
    <row r="152" customFormat="false" ht="15" hidden="false" customHeight="false" outlineLevel="0" collapsed="false">
      <c r="A152" s="5" t="s">
        <v>186</v>
      </c>
      <c r="B152" s="5" t="n">
        <v>1995</v>
      </c>
      <c r="C152" s="5" t="s">
        <v>1734</v>
      </c>
      <c r="D152" s="5" t="s">
        <v>1879</v>
      </c>
      <c r="E152" s="5" t="s">
        <v>52</v>
      </c>
      <c r="F152" s="5" t="str">
        <f aca="false">IF(B152&gt;YEAR(INDEX(Acts!$D:$D,MATCH(A152,Acts!$B:$B,0))),"later",IF(B152=YEAR(INDEX(Acts!$D:$D,MATCH(A152,Acts!$B:$B,0))),"same ceremony","earlier"))</f>
        <v>later</v>
      </c>
      <c r="G152" s="5" t="s">
        <v>1870</v>
      </c>
    </row>
    <row r="153" customFormat="false" ht="15" hidden="false" customHeight="false" outlineLevel="0" collapsed="false">
      <c r="A153" s="5" t="s">
        <v>186</v>
      </c>
      <c r="B153" s="5" t="n">
        <v>1995</v>
      </c>
      <c r="C153" s="5" t="s">
        <v>1876</v>
      </c>
      <c r="D153" s="5" t="s">
        <v>1880</v>
      </c>
      <c r="E153" s="5" t="s">
        <v>72</v>
      </c>
      <c r="F153" s="5" t="str">
        <f aca="false">IF(B153&gt;YEAR(INDEX(Acts!$D:$D,MATCH(A153,Acts!$B:$B,0))),"later",IF(B153=YEAR(INDEX(Acts!$D:$D,MATCH(A153,Acts!$B:$B,0))),"same ceremony","earlier"))</f>
        <v>later</v>
      </c>
      <c r="G153" s="5" t="s">
        <v>1870</v>
      </c>
    </row>
    <row r="154" customFormat="false" ht="15" hidden="false" customHeight="false" outlineLevel="0" collapsed="false">
      <c r="A154" s="5" t="s">
        <v>186</v>
      </c>
      <c r="B154" s="5" t="n">
        <v>1996</v>
      </c>
      <c r="C154" s="5" t="s">
        <v>1734</v>
      </c>
      <c r="D154" s="5" t="s">
        <v>1881</v>
      </c>
      <c r="E154" s="5" t="s">
        <v>52</v>
      </c>
      <c r="F154" s="5" t="str">
        <f aca="false">IF(B154&gt;YEAR(INDEX(Acts!$D:$D,MATCH(A154,Acts!$B:$B,0))),"later",IF(B154=YEAR(INDEX(Acts!$D:$D,MATCH(A154,Acts!$B:$B,0))),"same ceremony","earlier"))</f>
        <v>later</v>
      </c>
      <c r="G154" s="5" t="s">
        <v>1870</v>
      </c>
    </row>
    <row r="155" customFormat="false" ht="15" hidden="false" customHeight="false" outlineLevel="0" collapsed="false">
      <c r="A155" s="5" t="s">
        <v>186</v>
      </c>
      <c r="B155" s="5" t="n">
        <v>1997</v>
      </c>
      <c r="C155" s="5" t="s">
        <v>1692</v>
      </c>
      <c r="D155" s="5" t="s">
        <v>1882</v>
      </c>
      <c r="E155" s="5" t="s">
        <v>52</v>
      </c>
      <c r="F155" s="5" t="str">
        <f aca="false">IF(B155&gt;YEAR(INDEX(Acts!$D:$D,MATCH(A155,Acts!$B:$B,0))),"later",IF(B155=YEAR(INDEX(Acts!$D:$D,MATCH(A155,Acts!$B:$B,0))),"same ceremony","earlier"))</f>
        <v>later</v>
      </c>
      <c r="G155" s="5" t="s">
        <v>1870</v>
      </c>
    </row>
    <row r="156" customFormat="false" ht="15" hidden="false" customHeight="false" outlineLevel="0" collapsed="false">
      <c r="A156" s="5" t="s">
        <v>186</v>
      </c>
      <c r="B156" s="5" t="n">
        <v>1997</v>
      </c>
      <c r="C156" s="5" t="s">
        <v>1883</v>
      </c>
      <c r="D156" s="5" t="s">
        <v>1882</v>
      </c>
      <c r="E156" s="5" t="s">
        <v>52</v>
      </c>
      <c r="F156" s="5" t="str">
        <f aca="false">IF(B156&gt;YEAR(INDEX(Acts!$D:$D,MATCH(A156,Acts!$B:$B,0))),"later",IF(B156=YEAR(INDEX(Acts!$D:$D,MATCH(A156,Acts!$B:$B,0))),"same ceremony","earlier"))</f>
        <v>later</v>
      </c>
      <c r="G156" s="5" t="s">
        <v>1870</v>
      </c>
    </row>
    <row r="157" customFormat="false" ht="15" hidden="false" customHeight="false" outlineLevel="0" collapsed="false">
      <c r="A157" s="5" t="s">
        <v>186</v>
      </c>
      <c r="B157" s="5" t="n">
        <v>1998</v>
      </c>
      <c r="C157" s="5" t="s">
        <v>1876</v>
      </c>
      <c r="D157" s="5" t="s">
        <v>1510</v>
      </c>
      <c r="E157" s="5" t="s">
        <v>72</v>
      </c>
      <c r="F157" s="5" t="str">
        <f aca="false">IF(B157&gt;YEAR(INDEX(Acts!$D:$D,MATCH(A157,Acts!$B:$B,0))),"later",IF(B157=YEAR(INDEX(Acts!$D:$D,MATCH(A157,Acts!$B:$B,0))),"same ceremony","earlier"))</f>
        <v>later</v>
      </c>
      <c r="G157" s="5" t="s">
        <v>1870</v>
      </c>
    </row>
    <row r="158" customFormat="false" ht="15" hidden="false" customHeight="false" outlineLevel="0" collapsed="false">
      <c r="A158" s="5" t="s">
        <v>186</v>
      </c>
      <c r="B158" s="5" t="n">
        <v>1998</v>
      </c>
      <c r="C158" s="5" t="s">
        <v>1734</v>
      </c>
      <c r="D158" s="5" t="s">
        <v>1884</v>
      </c>
      <c r="E158" s="5" t="s">
        <v>52</v>
      </c>
      <c r="F158" s="5" t="str">
        <f aca="false">IF(B158&gt;YEAR(INDEX(Acts!$D:$D,MATCH(A158,Acts!$B:$B,0))),"later",IF(B158=YEAR(INDEX(Acts!$D:$D,MATCH(A158,Acts!$B:$B,0))),"same ceremony","earlier"))</f>
        <v>later</v>
      </c>
      <c r="G158" s="5" t="s">
        <v>1870</v>
      </c>
    </row>
    <row r="159" customFormat="false" ht="15" hidden="false" customHeight="false" outlineLevel="0" collapsed="false">
      <c r="A159" s="5" t="s">
        <v>186</v>
      </c>
      <c r="B159" s="5" t="n">
        <v>2000</v>
      </c>
      <c r="C159" s="5" t="s">
        <v>1876</v>
      </c>
      <c r="D159" s="5" t="s">
        <v>1514</v>
      </c>
      <c r="E159" s="5" t="s">
        <v>52</v>
      </c>
      <c r="F159" s="5" t="str">
        <f aca="false">IF(B159&gt;YEAR(INDEX(Acts!$D:$D,MATCH(A159,Acts!$B:$B,0))),"later",IF(B159=YEAR(INDEX(Acts!$D:$D,MATCH(A159,Acts!$B:$B,0))),"same ceremony","earlier"))</f>
        <v>later</v>
      </c>
      <c r="G159" s="5" t="s">
        <v>1870</v>
      </c>
    </row>
    <row r="160" customFormat="false" ht="15" hidden="false" customHeight="false" outlineLevel="0" collapsed="false">
      <c r="A160" s="5" t="s">
        <v>186</v>
      </c>
      <c r="B160" s="5" t="n">
        <v>2003</v>
      </c>
      <c r="C160" s="5" t="s">
        <v>1734</v>
      </c>
      <c r="D160" s="5" t="s">
        <v>1885</v>
      </c>
      <c r="E160" s="5" t="s">
        <v>72</v>
      </c>
      <c r="F160" s="5" t="str">
        <f aca="false">IF(B160&gt;YEAR(INDEX(Acts!$D:$D,MATCH(A160,Acts!$B:$B,0))),"later",IF(B160=YEAR(INDEX(Acts!$D:$D,MATCH(A160,Acts!$B:$B,0))),"same ceremony","earlier"))</f>
        <v>later</v>
      </c>
      <c r="G160" s="5" t="s">
        <v>1870</v>
      </c>
    </row>
    <row r="161" customFormat="false" ht="15" hidden="false" customHeight="false" outlineLevel="0" collapsed="false">
      <c r="A161" s="5" t="s">
        <v>186</v>
      </c>
      <c r="B161" s="5" t="n">
        <v>2005</v>
      </c>
      <c r="C161" s="5" t="s">
        <v>1771</v>
      </c>
      <c r="D161" s="5" t="s">
        <v>1886</v>
      </c>
      <c r="E161" s="5" t="s">
        <v>52</v>
      </c>
      <c r="F161" s="5" t="str">
        <f aca="false">IF(B161&gt;YEAR(INDEX(Acts!$D:$D,MATCH(A161,Acts!$B:$B,0))),"later",IF(B161=YEAR(INDEX(Acts!$D:$D,MATCH(A161,Acts!$B:$B,0))),"same ceremony","earlier"))</f>
        <v>later</v>
      </c>
      <c r="G161" s="5" t="s">
        <v>1870</v>
      </c>
    </row>
    <row r="162" customFormat="false" ht="15" hidden="false" customHeight="false" outlineLevel="0" collapsed="false">
      <c r="A162" s="5" t="s">
        <v>186</v>
      </c>
      <c r="B162" s="5" t="n">
        <v>2009</v>
      </c>
      <c r="C162" s="5" t="s">
        <v>1887</v>
      </c>
      <c r="D162" s="5" t="s">
        <v>1888</v>
      </c>
      <c r="E162" s="5" t="s">
        <v>52</v>
      </c>
      <c r="F162" s="5" t="str">
        <f aca="false">IF(B162&gt;YEAR(INDEX(Acts!$D:$D,MATCH(A162,Acts!$B:$B,0))),"later",IF(B162=YEAR(INDEX(Acts!$D:$D,MATCH(A162,Acts!$B:$B,0))),"same ceremony","earlier"))</f>
        <v>later</v>
      </c>
      <c r="G162" s="5" t="s">
        <v>1870</v>
      </c>
    </row>
    <row r="163" customFormat="false" ht="15" hidden="false" customHeight="false" outlineLevel="0" collapsed="false">
      <c r="A163" s="5" t="s">
        <v>189</v>
      </c>
      <c r="B163" s="5" t="n">
        <v>1989</v>
      </c>
      <c r="C163" s="5" t="s">
        <v>1740</v>
      </c>
      <c r="D163" s="5" t="s">
        <v>1889</v>
      </c>
      <c r="E163" s="5" t="s">
        <v>72</v>
      </c>
      <c r="F163" s="5" t="str">
        <f aca="false">IF(B163&gt;YEAR(INDEX(Acts!$D:$D,MATCH(A163,Acts!$B:$B,0))),"later",IF(B163=YEAR(INDEX(Acts!$D:$D,MATCH(A163,Acts!$B:$B,0))),"same ceremony","earlier"))</f>
        <v>later</v>
      </c>
      <c r="G163" s="5" t="s">
        <v>1890</v>
      </c>
    </row>
    <row r="164" customFormat="false" ht="15" hidden="false" customHeight="false" outlineLevel="0" collapsed="false">
      <c r="A164" s="5" t="s">
        <v>189</v>
      </c>
      <c r="B164" s="5" t="n">
        <v>1996</v>
      </c>
      <c r="C164" s="5" t="s">
        <v>1734</v>
      </c>
      <c r="D164" s="5" t="s">
        <v>1891</v>
      </c>
      <c r="E164" s="5" t="s">
        <v>52</v>
      </c>
      <c r="F164" s="5" t="str">
        <f aca="false">IF(B164&gt;YEAR(INDEX(Acts!$D:$D,MATCH(A164,Acts!$B:$B,0))),"later",IF(B164=YEAR(INDEX(Acts!$D:$D,MATCH(A164,Acts!$B:$B,0))),"same ceremony","earlier"))</f>
        <v>later</v>
      </c>
      <c r="G164" s="5" t="s">
        <v>1890</v>
      </c>
    </row>
    <row r="165" customFormat="false" ht="15" hidden="false" customHeight="false" outlineLevel="0" collapsed="false">
      <c r="A165" s="5" t="s">
        <v>195</v>
      </c>
      <c r="B165" s="5" t="n">
        <v>1990</v>
      </c>
      <c r="C165" s="5" t="s">
        <v>1892</v>
      </c>
      <c r="D165" s="5" t="s">
        <v>1893</v>
      </c>
      <c r="E165" s="5" t="s">
        <v>52</v>
      </c>
      <c r="F165" s="5" t="str">
        <f aca="false">IF(B165&gt;YEAR(INDEX(Acts!$D:$D,MATCH(A165,Acts!$B:$B,0))),"later",IF(B165=YEAR(INDEX(Acts!$D:$D,MATCH(A165,Acts!$B:$B,0))),"same ceremony","earlier"))</f>
        <v>same ceremony</v>
      </c>
      <c r="G165" s="5" t="s">
        <v>1894</v>
      </c>
    </row>
    <row r="166" customFormat="false" ht="15" hidden="false" customHeight="false" outlineLevel="0" collapsed="false">
      <c r="A166" s="5" t="s">
        <v>198</v>
      </c>
      <c r="B166" s="5" t="n">
        <v>1989</v>
      </c>
      <c r="C166" s="5" t="s">
        <v>1709</v>
      </c>
      <c r="D166" s="5" t="s">
        <v>1895</v>
      </c>
      <c r="E166" s="5" t="s">
        <v>52</v>
      </c>
      <c r="F166" s="5" t="str">
        <f aca="false">IF(B166&gt;YEAR(INDEX(Acts!$D:$D,MATCH(A166,Acts!$B:$B,0))),"later",IF(B166=YEAR(INDEX(Acts!$D:$D,MATCH(A166,Acts!$B:$B,0))),"same ceremony","earlier"))</f>
        <v>same ceremony</v>
      </c>
      <c r="G166" s="5" t="s">
        <v>1896</v>
      </c>
    </row>
    <row r="167" customFormat="false" ht="15" hidden="false" customHeight="false" outlineLevel="0" collapsed="false">
      <c r="A167" s="5" t="s">
        <v>198</v>
      </c>
      <c r="B167" s="5" t="n">
        <v>1996</v>
      </c>
      <c r="C167" s="5" t="s">
        <v>1897</v>
      </c>
      <c r="D167" s="5" t="s">
        <v>1898</v>
      </c>
      <c r="E167" s="5" t="s">
        <v>52</v>
      </c>
      <c r="F167" s="5" t="str">
        <f aca="false">IF(B167&gt;YEAR(INDEX(Acts!$D:$D,MATCH(A167,Acts!$B:$B,0))),"later",IF(B167=YEAR(INDEX(Acts!$D:$D,MATCH(A167,Acts!$B:$B,0))),"same ceremony","earlier"))</f>
        <v>later</v>
      </c>
      <c r="G167" s="5" t="s">
        <v>1896</v>
      </c>
    </row>
    <row r="168" customFormat="false" ht="15" hidden="false" customHeight="false" outlineLevel="0" collapsed="false">
      <c r="A168" s="5" t="s">
        <v>201</v>
      </c>
      <c r="B168" s="5" t="n">
        <v>1989</v>
      </c>
      <c r="C168" s="5" t="s">
        <v>1698</v>
      </c>
      <c r="D168" s="5" t="s">
        <v>1899</v>
      </c>
      <c r="E168" s="5" t="s">
        <v>52</v>
      </c>
      <c r="F168" s="5" t="str">
        <f aca="false">IF(B168&gt;YEAR(INDEX(Acts!$D:$D,MATCH(A168,Acts!$B:$B,0))),"later",IF(B168=YEAR(INDEX(Acts!$D:$D,MATCH(A168,Acts!$B:$B,0))),"same ceremony","earlier"))</f>
        <v>same ceremony</v>
      </c>
      <c r="G168" s="5" t="s">
        <v>1900</v>
      </c>
    </row>
    <row r="169" customFormat="false" ht="15" hidden="false" customHeight="false" outlineLevel="0" collapsed="false">
      <c r="A169" s="5" t="s">
        <v>201</v>
      </c>
      <c r="B169" s="5" t="n">
        <v>1989</v>
      </c>
      <c r="C169" s="5" t="s">
        <v>1705</v>
      </c>
      <c r="D169" s="5" t="s">
        <v>1899</v>
      </c>
      <c r="E169" s="5" t="s">
        <v>72</v>
      </c>
      <c r="F169" s="5" t="str">
        <f aca="false">IF(B169&gt;YEAR(INDEX(Acts!$D:$D,MATCH(A169,Acts!$B:$B,0))),"later",IF(B169=YEAR(INDEX(Acts!$D:$D,MATCH(A169,Acts!$B:$B,0))),"same ceremony","earlier"))</f>
        <v>same ceremony</v>
      </c>
      <c r="G169" s="5" t="s">
        <v>1900</v>
      </c>
    </row>
    <row r="170" customFormat="false" ht="15" hidden="false" customHeight="false" outlineLevel="0" collapsed="false">
      <c r="A170" s="5" t="s">
        <v>201</v>
      </c>
      <c r="B170" s="5" t="n">
        <v>1989</v>
      </c>
      <c r="C170" s="5" t="s">
        <v>1700</v>
      </c>
      <c r="D170" s="5" t="s">
        <v>1899</v>
      </c>
      <c r="E170" s="5" t="s">
        <v>52</v>
      </c>
      <c r="F170" s="5" t="str">
        <f aca="false">IF(B170&gt;YEAR(INDEX(Acts!$D:$D,MATCH(A170,Acts!$B:$B,0))),"later",IF(B170=YEAR(INDEX(Acts!$D:$D,MATCH(A170,Acts!$B:$B,0))),"same ceremony","earlier"))</f>
        <v>same ceremony</v>
      </c>
      <c r="G170" s="5" t="s">
        <v>1900</v>
      </c>
    </row>
    <row r="171" customFormat="false" ht="15" hidden="false" customHeight="false" outlineLevel="0" collapsed="false">
      <c r="A171" s="5" t="s">
        <v>201</v>
      </c>
      <c r="B171" s="5" t="n">
        <v>1989</v>
      </c>
      <c r="C171" s="5" t="s">
        <v>1695</v>
      </c>
      <c r="D171" s="5" t="s">
        <v>201</v>
      </c>
      <c r="E171" s="5" t="s">
        <v>52</v>
      </c>
      <c r="F171" s="5" t="str">
        <f aca="false">IF(B171&gt;YEAR(INDEX(Acts!$D:$D,MATCH(A171,Acts!$B:$B,0))),"later",IF(B171=YEAR(INDEX(Acts!$D:$D,MATCH(A171,Acts!$B:$B,0))),"same ceremony","earlier"))</f>
        <v>same ceremony</v>
      </c>
      <c r="G171" s="5" t="s">
        <v>1900</v>
      </c>
    </row>
    <row r="172" customFormat="false" ht="15" hidden="false" customHeight="false" outlineLevel="0" collapsed="false">
      <c r="A172" s="5" t="s">
        <v>201</v>
      </c>
      <c r="B172" s="5" t="n">
        <v>1989</v>
      </c>
      <c r="C172" s="5" t="s">
        <v>1901</v>
      </c>
      <c r="D172" s="5" t="s">
        <v>201</v>
      </c>
      <c r="E172" s="5" t="s">
        <v>72</v>
      </c>
      <c r="F172" s="5" t="str">
        <f aca="false">IF(B172&gt;YEAR(INDEX(Acts!$D:$D,MATCH(A172,Acts!$B:$B,0))),"later",IF(B172=YEAR(INDEX(Acts!$D:$D,MATCH(A172,Acts!$B:$B,0))),"same ceremony","earlier"))</f>
        <v>same ceremony</v>
      </c>
      <c r="G172" s="5" t="s">
        <v>1900</v>
      </c>
    </row>
    <row r="173" customFormat="false" ht="15" hidden="false" customHeight="false" outlineLevel="0" collapsed="false">
      <c r="A173" s="5" t="s">
        <v>201</v>
      </c>
      <c r="B173" s="5" t="n">
        <v>1990</v>
      </c>
      <c r="C173" s="5" t="s">
        <v>1901</v>
      </c>
      <c r="D173" s="5" t="s">
        <v>1636</v>
      </c>
      <c r="E173" s="5" t="s">
        <v>52</v>
      </c>
      <c r="F173" s="5" t="str">
        <f aca="false">IF(B173&gt;YEAR(INDEX(Acts!$D:$D,MATCH(A173,Acts!$B:$B,0))),"later",IF(B173=YEAR(INDEX(Acts!$D:$D,MATCH(A173,Acts!$B:$B,0))),"same ceremony","earlier"))</f>
        <v>later</v>
      </c>
      <c r="G173" s="5" t="s">
        <v>1900</v>
      </c>
    </row>
    <row r="174" customFormat="false" ht="15" hidden="false" customHeight="false" outlineLevel="0" collapsed="false">
      <c r="A174" s="5" t="s">
        <v>201</v>
      </c>
      <c r="B174" s="5" t="n">
        <v>1997</v>
      </c>
      <c r="C174" s="5" t="s">
        <v>1897</v>
      </c>
      <c r="D174" s="5" t="s">
        <v>1902</v>
      </c>
      <c r="E174" s="5" t="s">
        <v>52</v>
      </c>
      <c r="F174" s="5" t="str">
        <f aca="false">IF(B174&gt;YEAR(INDEX(Acts!$D:$D,MATCH(A174,Acts!$B:$B,0))),"later",IF(B174=YEAR(INDEX(Acts!$D:$D,MATCH(A174,Acts!$B:$B,0))),"same ceremony","earlier"))</f>
        <v>later</v>
      </c>
      <c r="G174" s="5" t="s">
        <v>1900</v>
      </c>
    </row>
    <row r="175" customFormat="false" ht="15" hidden="false" customHeight="false" outlineLevel="0" collapsed="false">
      <c r="A175" s="5" t="s">
        <v>201</v>
      </c>
      <c r="B175" s="5" t="n">
        <v>1997</v>
      </c>
      <c r="C175" s="5" t="s">
        <v>1903</v>
      </c>
      <c r="D175" s="5" t="s">
        <v>1902</v>
      </c>
      <c r="E175" s="5" t="s">
        <v>72</v>
      </c>
      <c r="F175" s="5" t="str">
        <f aca="false">IF(B175&gt;YEAR(INDEX(Acts!$D:$D,MATCH(A175,Acts!$B:$B,0))),"later",IF(B175=YEAR(INDEX(Acts!$D:$D,MATCH(A175,Acts!$B:$B,0))),"same ceremony","earlier"))</f>
        <v>later</v>
      </c>
      <c r="G175" s="5" t="s">
        <v>1900</v>
      </c>
    </row>
    <row r="176" customFormat="false" ht="15" hidden="false" customHeight="false" outlineLevel="0" collapsed="false">
      <c r="A176" s="5" t="s">
        <v>201</v>
      </c>
      <c r="B176" s="5" t="n">
        <v>1997</v>
      </c>
      <c r="C176" s="5" t="s">
        <v>1698</v>
      </c>
      <c r="D176" s="5" t="s">
        <v>1902</v>
      </c>
      <c r="E176" s="5" t="s">
        <v>52</v>
      </c>
      <c r="F176" s="5" t="str">
        <f aca="false">IF(B176&gt;YEAR(INDEX(Acts!$D:$D,MATCH(A176,Acts!$B:$B,0))),"later",IF(B176=YEAR(INDEX(Acts!$D:$D,MATCH(A176,Acts!$B:$B,0))),"same ceremony","earlier"))</f>
        <v>later</v>
      </c>
      <c r="G176" s="5" t="s">
        <v>1900</v>
      </c>
    </row>
    <row r="177" customFormat="false" ht="15" hidden="false" customHeight="false" outlineLevel="0" collapsed="false">
      <c r="A177" s="5" t="s">
        <v>201</v>
      </c>
      <c r="B177" s="5" t="n">
        <v>1997</v>
      </c>
      <c r="C177" s="5" t="s">
        <v>1904</v>
      </c>
      <c r="D177" s="5" t="s">
        <v>1642</v>
      </c>
      <c r="E177" s="5" t="s">
        <v>52</v>
      </c>
      <c r="F177" s="5" t="str">
        <f aca="false">IF(B177&gt;YEAR(INDEX(Acts!$D:$D,MATCH(A177,Acts!$B:$B,0))),"later",IF(B177=YEAR(INDEX(Acts!$D:$D,MATCH(A177,Acts!$B:$B,0))),"same ceremony","earlier"))</f>
        <v>later</v>
      </c>
      <c r="G177" s="5" t="s">
        <v>1900</v>
      </c>
    </row>
    <row r="178" customFormat="false" ht="15" hidden="false" customHeight="false" outlineLevel="0" collapsed="false">
      <c r="A178" s="5" t="s">
        <v>201</v>
      </c>
      <c r="B178" s="5" t="n">
        <v>1997</v>
      </c>
      <c r="C178" s="5" t="s">
        <v>1700</v>
      </c>
      <c r="D178" s="5" t="s">
        <v>1902</v>
      </c>
      <c r="E178" s="5" t="s">
        <v>52</v>
      </c>
      <c r="F178" s="5" t="str">
        <f aca="false">IF(B178&gt;YEAR(INDEX(Acts!$D:$D,MATCH(A178,Acts!$B:$B,0))),"later",IF(B178=YEAR(INDEX(Acts!$D:$D,MATCH(A178,Acts!$B:$B,0))),"same ceremony","earlier"))</f>
        <v>later</v>
      </c>
      <c r="G178" s="5" t="s">
        <v>1900</v>
      </c>
    </row>
    <row r="179" customFormat="false" ht="15" hidden="false" customHeight="false" outlineLevel="0" collapsed="false">
      <c r="A179" s="5" t="s">
        <v>201</v>
      </c>
      <c r="B179" s="5" t="n">
        <v>2010</v>
      </c>
      <c r="C179" s="5" t="s">
        <v>1905</v>
      </c>
      <c r="D179" s="5" t="s">
        <v>1654</v>
      </c>
      <c r="E179" s="5" t="s">
        <v>52</v>
      </c>
      <c r="F179" s="5" t="str">
        <f aca="false">IF(B179&gt;YEAR(INDEX(Acts!$D:$D,MATCH(A179,Acts!$B:$B,0))),"later",IF(B179=YEAR(INDEX(Acts!$D:$D,MATCH(A179,Acts!$B:$B,0))),"same ceremony","earlier"))</f>
        <v>later</v>
      </c>
      <c r="G179" s="5" t="s">
        <v>1900</v>
      </c>
    </row>
    <row r="180" customFormat="false" ht="15" hidden="false" customHeight="false" outlineLevel="0" collapsed="false">
      <c r="A180" s="5" t="s">
        <v>204</v>
      </c>
      <c r="B180" s="5" t="n">
        <v>1989</v>
      </c>
      <c r="C180" s="5" t="s">
        <v>1773</v>
      </c>
      <c r="D180" s="5" t="s">
        <v>1657</v>
      </c>
      <c r="E180" s="5" t="s">
        <v>52</v>
      </c>
      <c r="F180" s="5" t="str">
        <f aca="false">IF(B180&gt;YEAR(INDEX(Acts!$D:$D,MATCH(A180,Acts!$B:$B,0))),"later",IF(B180=YEAR(INDEX(Acts!$D:$D,MATCH(A180,Acts!$B:$B,0))),"same ceremony","earlier"))</f>
        <v>same ceremony</v>
      </c>
      <c r="G180" s="5" t="s">
        <v>1906</v>
      </c>
    </row>
    <row r="181" customFormat="false" ht="15" hidden="false" customHeight="false" outlineLevel="0" collapsed="false">
      <c r="A181" s="5" t="s">
        <v>204</v>
      </c>
      <c r="B181" s="5" t="n">
        <v>1990</v>
      </c>
      <c r="C181" s="5" t="s">
        <v>1773</v>
      </c>
      <c r="D181" s="5" t="s">
        <v>1907</v>
      </c>
      <c r="E181" s="5" t="s">
        <v>52</v>
      </c>
      <c r="F181" s="5" t="str">
        <f aca="false">IF(B181&gt;YEAR(INDEX(Acts!$D:$D,MATCH(A181,Acts!$B:$B,0))),"later",IF(B181=YEAR(INDEX(Acts!$D:$D,MATCH(A181,Acts!$B:$B,0))),"same ceremony","earlier"))</f>
        <v>later</v>
      </c>
      <c r="G181" s="5" t="s">
        <v>1906</v>
      </c>
    </row>
    <row r="182" customFormat="false" ht="15" hidden="false" customHeight="false" outlineLevel="0" collapsed="false">
      <c r="A182" s="5" t="s">
        <v>204</v>
      </c>
      <c r="B182" s="5" t="n">
        <v>1992</v>
      </c>
      <c r="C182" s="5" t="s">
        <v>1773</v>
      </c>
      <c r="D182" s="5" t="s">
        <v>1908</v>
      </c>
      <c r="E182" s="5" t="s">
        <v>52</v>
      </c>
      <c r="F182" s="5" t="str">
        <f aca="false">IF(B182&gt;YEAR(INDEX(Acts!$D:$D,MATCH(A182,Acts!$B:$B,0))),"later",IF(B182=YEAR(INDEX(Acts!$D:$D,MATCH(A182,Acts!$B:$B,0))),"same ceremony","earlier"))</f>
        <v>later</v>
      </c>
      <c r="G182" s="5" t="s">
        <v>1906</v>
      </c>
    </row>
    <row r="183" customFormat="false" ht="15" hidden="false" customHeight="false" outlineLevel="0" collapsed="false">
      <c r="A183" s="5" t="s">
        <v>204</v>
      </c>
      <c r="B183" s="5" t="n">
        <v>1993</v>
      </c>
      <c r="C183" s="5" t="s">
        <v>1698</v>
      </c>
      <c r="D183" s="5" t="s">
        <v>1909</v>
      </c>
      <c r="E183" s="5" t="s">
        <v>52</v>
      </c>
      <c r="F183" s="5" t="str">
        <f aca="false">IF(B183&gt;YEAR(INDEX(Acts!$D:$D,MATCH(A183,Acts!$B:$B,0))),"later",IF(B183=YEAR(INDEX(Acts!$D:$D,MATCH(A183,Acts!$B:$B,0))),"same ceremony","earlier"))</f>
        <v>later</v>
      </c>
      <c r="G183" s="5" t="s">
        <v>1906</v>
      </c>
    </row>
    <row r="184" customFormat="false" ht="15" hidden="false" customHeight="false" outlineLevel="0" collapsed="false">
      <c r="A184" s="5" t="s">
        <v>204</v>
      </c>
      <c r="B184" s="5" t="n">
        <v>1993</v>
      </c>
      <c r="C184" s="5" t="s">
        <v>1705</v>
      </c>
      <c r="D184" s="5" t="s">
        <v>1909</v>
      </c>
      <c r="E184" s="5" t="s">
        <v>52</v>
      </c>
      <c r="F184" s="5" t="str">
        <f aca="false">IF(B184&gt;YEAR(INDEX(Acts!$D:$D,MATCH(A184,Acts!$B:$B,0))),"later",IF(B184=YEAR(INDEX(Acts!$D:$D,MATCH(A184,Acts!$B:$B,0))),"same ceremony","earlier"))</f>
        <v>later</v>
      </c>
      <c r="G184" s="5" t="s">
        <v>1906</v>
      </c>
    </row>
    <row r="185" customFormat="false" ht="15" hidden="false" customHeight="false" outlineLevel="0" collapsed="false">
      <c r="A185" s="5" t="s">
        <v>204</v>
      </c>
      <c r="B185" s="5" t="n">
        <v>1993</v>
      </c>
      <c r="C185" s="5" t="s">
        <v>1773</v>
      </c>
      <c r="D185" s="5" t="s">
        <v>1661</v>
      </c>
      <c r="E185" s="5" t="s">
        <v>52</v>
      </c>
      <c r="F185" s="5" t="str">
        <f aca="false">IF(B185&gt;YEAR(INDEX(Acts!$D:$D,MATCH(A185,Acts!$B:$B,0))),"later",IF(B185=YEAR(INDEX(Acts!$D:$D,MATCH(A185,Acts!$B:$B,0))),"same ceremony","earlier"))</f>
        <v>later</v>
      </c>
      <c r="G185" s="5" t="s">
        <v>1906</v>
      </c>
    </row>
    <row r="186" customFormat="false" ht="15" hidden="false" customHeight="false" outlineLevel="0" collapsed="false">
      <c r="A186" s="5" t="s">
        <v>204</v>
      </c>
      <c r="B186" s="5" t="n">
        <v>1994</v>
      </c>
      <c r="C186" s="5" t="s">
        <v>1692</v>
      </c>
      <c r="D186" s="5" t="s">
        <v>1910</v>
      </c>
      <c r="E186" s="5" t="s">
        <v>52</v>
      </c>
      <c r="F186" s="5" t="str">
        <f aca="false">IF(B186&gt;YEAR(INDEX(Acts!$D:$D,MATCH(A186,Acts!$B:$B,0))),"later",IF(B186=YEAR(INDEX(Acts!$D:$D,MATCH(A186,Acts!$B:$B,0))),"same ceremony","earlier"))</f>
        <v>later</v>
      </c>
      <c r="G186" s="5" t="s">
        <v>1906</v>
      </c>
    </row>
    <row r="187" customFormat="false" ht="15" hidden="false" customHeight="false" outlineLevel="0" collapsed="false">
      <c r="A187" s="5" t="s">
        <v>204</v>
      </c>
      <c r="B187" s="5" t="n">
        <v>1996</v>
      </c>
      <c r="C187" s="5" t="s">
        <v>1839</v>
      </c>
      <c r="D187" s="5" t="s">
        <v>1911</v>
      </c>
      <c r="E187" s="5" t="s">
        <v>52</v>
      </c>
      <c r="F187" s="5" t="str">
        <f aca="false">IF(B187&gt;YEAR(INDEX(Acts!$D:$D,MATCH(A187,Acts!$B:$B,0))),"later",IF(B187=YEAR(INDEX(Acts!$D:$D,MATCH(A187,Acts!$B:$B,0))),"same ceremony","earlier"))</f>
        <v>later</v>
      </c>
      <c r="G187" s="5" t="s">
        <v>1906</v>
      </c>
    </row>
    <row r="188" customFormat="false" ht="15" hidden="false" customHeight="false" outlineLevel="0" collapsed="false">
      <c r="A188" s="5" t="s">
        <v>204</v>
      </c>
      <c r="B188" s="5" t="n">
        <v>1996</v>
      </c>
      <c r="C188" s="5" t="s">
        <v>1912</v>
      </c>
      <c r="D188" s="5" t="s">
        <v>1913</v>
      </c>
      <c r="E188" s="5" t="s">
        <v>52</v>
      </c>
      <c r="F188" s="5" t="str">
        <f aca="false">IF(B188&gt;YEAR(INDEX(Acts!$D:$D,MATCH(A188,Acts!$B:$B,0))),"later",IF(B188=YEAR(INDEX(Acts!$D:$D,MATCH(A188,Acts!$B:$B,0))),"same ceremony","earlier"))</f>
        <v>later</v>
      </c>
      <c r="G188" s="5" t="s">
        <v>1906</v>
      </c>
    </row>
    <row r="189" customFormat="false" ht="15" hidden="false" customHeight="false" outlineLevel="0" collapsed="false">
      <c r="A189" s="5" t="s">
        <v>204</v>
      </c>
      <c r="B189" s="5" t="n">
        <v>1998</v>
      </c>
      <c r="C189" s="5" t="s">
        <v>1914</v>
      </c>
      <c r="D189" s="5" t="s">
        <v>1666</v>
      </c>
      <c r="E189" s="5" t="s">
        <v>52</v>
      </c>
      <c r="F189" s="5" t="str">
        <f aca="false">IF(B189&gt;YEAR(INDEX(Acts!$D:$D,MATCH(A189,Acts!$B:$B,0))),"later",IF(B189=YEAR(INDEX(Acts!$D:$D,MATCH(A189,Acts!$B:$B,0))),"same ceremony","earlier"))</f>
        <v>later</v>
      </c>
      <c r="G189" s="5" t="s">
        <v>1906</v>
      </c>
    </row>
  </sheetData>
  <autoFilter ref="A1:G1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7" min="5" style="0" width="10"/>
    <col collapsed="false" customWidth="true" hidden="false" outlineLevel="0" max="8" min="8" style="0" width="11"/>
  </cols>
  <sheetData>
    <row r="1" customFormat="false" ht="35.05" hidden="false" customHeight="false" outlineLevel="0" collapsed="false">
      <c r="A1" s="4" t="s">
        <v>24</v>
      </c>
      <c r="B1" s="4" t="s">
        <v>1915</v>
      </c>
      <c r="C1" s="4" t="s">
        <v>1916</v>
      </c>
      <c r="D1" s="4" t="s">
        <v>1917</v>
      </c>
      <c r="E1" s="4" t="s">
        <v>1918</v>
      </c>
      <c r="F1" s="4" t="s">
        <v>34</v>
      </c>
      <c r="G1" s="4" t="s">
        <v>35</v>
      </c>
      <c r="H1" s="4" t="s">
        <v>1919</v>
      </c>
    </row>
    <row r="2" customFormat="false" ht="15" hidden="false" customHeight="false" outlineLevel="0" collapsed="false">
      <c r="A2" s="5" t="s">
        <v>50</v>
      </c>
      <c r="B2" s="5" t="s">
        <v>942</v>
      </c>
      <c r="C2" s="8" t="n">
        <f aca="false">VALUE(LEFT(B2,4))</f>
        <v>1994</v>
      </c>
      <c r="D2" s="5" t="s">
        <v>1920</v>
      </c>
      <c r="E2" s="8" t="n">
        <f aca="false">VALUE(LEFT(D2,4))</f>
        <v>1998</v>
      </c>
      <c r="F2" s="8" t="n">
        <f aca="false">INDEX(Acts!$L:$L,MATCH(A2,Acts!$B:$B,0))</f>
        <v>1985</v>
      </c>
      <c r="G2" s="8" t="n">
        <f aca="false">INDEX(Acts!$M:$M,MATCH(A2,Acts!$B:$B,0))</f>
        <v>2022</v>
      </c>
      <c r="H2" s="5" t="n">
        <f aca="false">IF(AND(ISNUMBER(F2),C2&gt;=F2,E2&lt;=G2),MAX(0,E2-C2-1),0)</f>
        <v>3</v>
      </c>
    </row>
    <row r="3" customFormat="false" ht="15" hidden="false" customHeight="false" outlineLevel="0" collapsed="false">
      <c r="A3" s="5" t="s">
        <v>50</v>
      </c>
      <c r="B3" s="5" t="s">
        <v>1921</v>
      </c>
      <c r="C3" s="8" t="n">
        <f aca="false">VALUE(LEFT(B3,4))</f>
        <v>2009</v>
      </c>
      <c r="D3" s="5" t="s">
        <v>1922</v>
      </c>
      <c r="E3" s="8" t="n">
        <f aca="false">VALUE(LEFT(D3,4))</f>
        <v>2015</v>
      </c>
      <c r="F3" s="8" t="n">
        <f aca="false">INDEX(Acts!$L:$L,MATCH(A3,Acts!$B:$B,0))</f>
        <v>1985</v>
      </c>
      <c r="G3" s="8" t="n">
        <f aca="false">INDEX(Acts!$M:$M,MATCH(A3,Acts!$B:$B,0))</f>
        <v>2022</v>
      </c>
      <c r="H3" s="5" t="n">
        <f aca="false">IF(AND(ISNUMBER(F3),C3&gt;=F3,E3&lt;=G3),MAX(0,E3-C3-1),0)</f>
        <v>5</v>
      </c>
    </row>
    <row r="4" customFormat="false" ht="15" hidden="false" customHeight="false" outlineLevel="0" collapsed="false">
      <c r="A4" s="5" t="s">
        <v>62</v>
      </c>
      <c r="B4" s="5" t="s">
        <v>924</v>
      </c>
      <c r="C4" s="8" t="n">
        <f aca="false">VALUE(LEFT(B4,4))</f>
        <v>1986</v>
      </c>
      <c r="D4" s="5" t="s">
        <v>1245</v>
      </c>
      <c r="E4" s="8" t="n">
        <f aca="false">VALUE(LEFT(D4,4))</f>
        <v>1989</v>
      </c>
      <c r="F4" s="8" t="n">
        <f aca="false">INDEX(Acts!$L:$L,MATCH(A4,Acts!$B:$B,0))</f>
        <v>1982</v>
      </c>
      <c r="G4" s="8" t="n">
        <f aca="false">INDEX(Acts!$M:$M,MATCH(A4,Acts!$B:$B,0))</f>
        <v>2014</v>
      </c>
      <c r="H4" s="5" t="n">
        <f aca="false">IF(AND(ISNUMBER(F4),C4&gt;=F4,E4&lt;=G4),MAX(0,E4-C4-1),0)</f>
        <v>2</v>
      </c>
    </row>
    <row r="5" customFormat="false" ht="15" hidden="false" customHeight="false" outlineLevel="0" collapsed="false">
      <c r="A5" s="5" t="s">
        <v>65</v>
      </c>
      <c r="B5" s="5" t="s">
        <v>1923</v>
      </c>
      <c r="C5" s="8" t="n">
        <f aca="false">VALUE(LEFT(B5,4))</f>
        <v>2000</v>
      </c>
      <c r="D5" s="5" t="s">
        <v>422</v>
      </c>
      <c r="E5" s="8" t="n">
        <f aca="false">VALUE(LEFT(D5,4))</f>
        <v>2007</v>
      </c>
      <c r="F5" s="8" t="n">
        <f aca="false">INDEX(Acts!$L:$L,MATCH(A5,Acts!$B:$B,0))</f>
        <v>1983</v>
      </c>
      <c r="G5" s="8" t="n">
        <f aca="false">INDEX(Acts!$M:$M,MATCH(A5,Acts!$B:$B,0))</f>
        <v>2013</v>
      </c>
      <c r="H5" s="5" t="n">
        <f aca="false">IF(AND(ISNUMBER(F5),C5&gt;=F5,E5&lt;=G5),MAX(0,E5-C5-1),0)</f>
        <v>6</v>
      </c>
    </row>
    <row r="6" customFormat="false" ht="15" hidden="false" customHeight="false" outlineLevel="0" collapsed="false">
      <c r="A6" s="5" t="s">
        <v>65</v>
      </c>
      <c r="B6" s="5" t="s">
        <v>422</v>
      </c>
      <c r="C6" s="8" t="n">
        <f aca="false">VALUE(LEFT(B6,4))</f>
        <v>2007</v>
      </c>
      <c r="D6" s="5" t="s">
        <v>1924</v>
      </c>
      <c r="E6" s="8" t="n">
        <f aca="false">VALUE(LEFT(D6,4))</f>
        <v>2010</v>
      </c>
      <c r="F6" s="8" t="n">
        <f aca="false">INDEX(Acts!$L:$L,MATCH(A6,Acts!$B:$B,0))</f>
        <v>1983</v>
      </c>
      <c r="G6" s="8" t="n">
        <f aca="false">INDEX(Acts!$M:$M,MATCH(A6,Acts!$B:$B,0))</f>
        <v>2013</v>
      </c>
      <c r="H6" s="5" t="n">
        <f aca="false">IF(AND(ISNUMBER(F6),C6&gt;=F6,E6&lt;=G6),MAX(0,E6-C6-1),0)</f>
        <v>2</v>
      </c>
    </row>
    <row r="7" customFormat="false" ht="15" hidden="false" customHeight="false" outlineLevel="0" collapsed="false">
      <c r="A7" s="5" t="s">
        <v>68</v>
      </c>
      <c r="B7" s="5" t="s">
        <v>1496</v>
      </c>
      <c r="C7" s="8" t="n">
        <f aca="false">VALUE(LEFT(B7,4))</f>
        <v>1988</v>
      </c>
      <c r="D7" s="5" t="s">
        <v>1925</v>
      </c>
      <c r="E7" s="8" t="n">
        <f aca="false">VALUE(LEFT(D7,4))</f>
        <v>2022</v>
      </c>
      <c r="F7" s="8" t="n">
        <f aca="false">INDEX(Acts!$L:$L,MATCH(A7,Acts!$B:$B,0))</f>
        <v>1987</v>
      </c>
      <c r="G7" s="8" t="n">
        <f aca="false">INDEX(Acts!$M:$M,MATCH(A7,Acts!$B:$B,0))</f>
        <v>1987</v>
      </c>
      <c r="H7" s="5" t="n">
        <f aca="false">IF(AND(ISNUMBER(F7),C7&gt;=F7,E7&lt;=G7),MAX(0,E7-C7-1),0)</f>
        <v>0</v>
      </c>
    </row>
    <row r="8" customFormat="false" ht="15" hidden="false" customHeight="false" outlineLevel="0" collapsed="false">
      <c r="A8" s="5" t="s">
        <v>81</v>
      </c>
      <c r="B8" s="5" t="s">
        <v>924</v>
      </c>
      <c r="C8" s="8" t="n">
        <f aca="false">VALUE(LEFT(B8,4))</f>
        <v>1986</v>
      </c>
      <c r="D8" s="5" t="s">
        <v>1926</v>
      </c>
      <c r="E8" s="8" t="n">
        <f aca="false">VALUE(LEFT(D8,4))</f>
        <v>1998</v>
      </c>
      <c r="F8" s="8" t="n">
        <f aca="false">INDEX(Acts!$L:$L,MATCH(A8,Acts!$B:$B,0))</f>
        <v>1982</v>
      </c>
      <c r="G8" s="8" t="n">
        <f aca="false">INDEX(Acts!$M:$M,MATCH(A8,Acts!$B:$B,0))</f>
        <v>2018</v>
      </c>
      <c r="H8" s="5" t="n">
        <f aca="false">IF(AND(ISNUMBER(F8),C8&gt;=F8,E8&lt;=G8),MAX(0,E8-C8-1),0)</f>
        <v>11</v>
      </c>
    </row>
    <row r="9" customFormat="false" ht="15" hidden="false" customHeight="false" outlineLevel="0" collapsed="false">
      <c r="A9" s="5" t="s">
        <v>81</v>
      </c>
      <c r="B9" s="5" t="s">
        <v>1927</v>
      </c>
      <c r="C9" s="8" t="n">
        <f aca="false">VALUE(LEFT(B9,4))</f>
        <v>2002</v>
      </c>
      <c r="D9" s="5" t="s">
        <v>429</v>
      </c>
      <c r="E9" s="8" t="n">
        <f aca="false">VALUE(LEFT(D9,4))</f>
        <v>2014</v>
      </c>
      <c r="F9" s="8" t="n">
        <f aca="false">INDEX(Acts!$L:$L,MATCH(A9,Acts!$B:$B,0))</f>
        <v>1982</v>
      </c>
      <c r="G9" s="8" t="n">
        <f aca="false">INDEX(Acts!$M:$M,MATCH(A9,Acts!$B:$B,0))</f>
        <v>2018</v>
      </c>
      <c r="H9" s="5" t="n">
        <f aca="false">IF(AND(ISNUMBER(F9),C9&gt;=F9,E9&lt;=G9),MAX(0,E9-C9-1),0)</f>
        <v>11</v>
      </c>
    </row>
    <row r="10" customFormat="false" ht="15" hidden="false" customHeight="false" outlineLevel="0" collapsed="false">
      <c r="A10" s="5" t="s">
        <v>90</v>
      </c>
      <c r="B10" s="5" t="s">
        <v>1928</v>
      </c>
      <c r="C10" s="8" t="n">
        <f aca="false">VALUE(LEFT(B10,4))</f>
        <v>1988</v>
      </c>
      <c r="D10" s="5" t="s">
        <v>1929</v>
      </c>
      <c r="E10" s="8" t="n">
        <f aca="false">VALUE(LEFT(D10,4))</f>
        <v>1991</v>
      </c>
      <c r="F10" s="8" t="n">
        <f aca="false">INDEX(Acts!$L:$L,MATCH(A10,Acts!$B:$B,0))</f>
        <v>1978</v>
      </c>
      <c r="G10" s="8" t="n">
        <f aca="false">INDEX(Acts!$M:$M,MATCH(A10,Acts!$B:$B,0))</f>
        <v>1991</v>
      </c>
      <c r="H10" s="5" t="n">
        <f aca="false">IF(AND(ISNUMBER(F10),C10&gt;=F10,E10&lt;=G10),MAX(0,E10-C10-1),0)</f>
        <v>2</v>
      </c>
    </row>
    <row r="11" customFormat="false" ht="15" hidden="false" customHeight="false" outlineLevel="0" collapsed="false">
      <c r="A11" s="5" t="s">
        <v>93</v>
      </c>
      <c r="B11" s="5" t="s">
        <v>1930</v>
      </c>
      <c r="C11" s="8" t="n">
        <f aca="false">VALUE(LEFT(B11,4))</f>
        <v>1990</v>
      </c>
      <c r="D11" s="5" t="s">
        <v>1931</v>
      </c>
      <c r="E11" s="8" t="n">
        <f aca="false">VALUE(LEFT(D11,4))</f>
        <v>1999</v>
      </c>
      <c r="F11" s="8" t="n">
        <f aca="false">INDEX(Acts!$L:$L,MATCH(A11,Acts!$B:$B,0))</f>
        <v>1981</v>
      </c>
      <c r="G11" s="8" t="n">
        <f aca="false">INDEX(Acts!$M:$M,MATCH(A11,Acts!$B:$B,0))</f>
        <v>1999</v>
      </c>
      <c r="H11" s="5" t="n">
        <f aca="false">IF(AND(ISNUMBER(F11),C11&gt;=F11,E11&lt;=G11),MAX(0,E11-C11-1),0)</f>
        <v>8</v>
      </c>
    </row>
    <row r="12" customFormat="false" ht="15" hidden="false" customHeight="false" outlineLevel="0" collapsed="false">
      <c r="A12" s="5" t="s">
        <v>96</v>
      </c>
      <c r="B12" s="5" t="s">
        <v>380</v>
      </c>
      <c r="C12" s="8" t="n">
        <f aca="false">VALUE(LEFT(B12,4))</f>
        <v>1987</v>
      </c>
      <c r="D12" s="5" t="s">
        <v>1932</v>
      </c>
      <c r="E12" s="8" t="n">
        <f aca="false">VALUE(LEFT(D12,4))</f>
        <v>2004</v>
      </c>
      <c r="F12" s="8" t="n">
        <f aca="false">INDEX(Acts!$L:$L,MATCH(A12,Acts!$B:$B,0))</f>
        <v>1984</v>
      </c>
      <c r="G12" s="8" t="n">
        <f aca="false">INDEX(Acts!$M:$M,MATCH(A12,Acts!$B:$B,0))</f>
        <v>1986</v>
      </c>
      <c r="H12" s="5" t="n">
        <f aca="false">IF(AND(ISNUMBER(F12),C12&gt;=F12,E12&lt;=G12),MAX(0,E12-C12-1),0)</f>
        <v>0</v>
      </c>
    </row>
    <row r="13" customFormat="false" ht="15" hidden="false" customHeight="false" outlineLevel="0" collapsed="false">
      <c r="A13" s="5" t="s">
        <v>102</v>
      </c>
      <c r="B13" s="5" t="s">
        <v>938</v>
      </c>
      <c r="C13" s="8" t="n">
        <f aca="false">VALUE(LEFT(B13,4))</f>
        <v>1993</v>
      </c>
      <c r="D13" s="5" t="s">
        <v>1255</v>
      </c>
      <c r="E13" s="8" t="n">
        <f aca="false">VALUE(LEFT(D13,4))</f>
        <v>2003</v>
      </c>
      <c r="F13" s="8" t="n">
        <f aca="false">INDEX(Acts!$L:$L,MATCH(A13,Acts!$B:$B,0))</f>
        <v>1986</v>
      </c>
      <c r="G13" s="8" t="n">
        <f aca="false">INDEX(Acts!$M:$M,MATCH(A13,Acts!$B:$B,0))</f>
        <v>2020</v>
      </c>
      <c r="H13" s="5" t="n">
        <f aca="false">IF(AND(ISNUMBER(F13),C13&gt;=F13,E13&lt;=G13),MAX(0,E13-C13-1),0)</f>
        <v>9</v>
      </c>
    </row>
    <row r="14" customFormat="false" ht="15" hidden="false" customHeight="false" outlineLevel="0" collapsed="false">
      <c r="A14" s="5" t="s">
        <v>105</v>
      </c>
      <c r="B14" s="5" t="s">
        <v>1933</v>
      </c>
      <c r="C14" s="8" t="n">
        <f aca="false">VALUE(LEFT(B14,4))</f>
        <v>1985</v>
      </c>
      <c r="D14" s="5" t="s">
        <v>942</v>
      </c>
      <c r="E14" s="8" t="n">
        <f aca="false">VALUE(LEFT(D14,4))</f>
        <v>1994</v>
      </c>
      <c r="F14" s="8" t="n">
        <f aca="false">INDEX(Acts!$L:$L,MATCH(A14,Acts!$B:$B,0))</f>
        <v>1981</v>
      </c>
      <c r="G14" s="8" t="n">
        <f aca="false">INDEX(Acts!$M:$M,MATCH(A14,Acts!$B:$B,0))</f>
        <v>2001</v>
      </c>
      <c r="H14" s="5" t="n">
        <f aca="false">IF(AND(ISNUMBER(F14),C14&gt;=F14,E14&lt;=G14),MAX(0,E14-C14-1),0)</f>
        <v>8</v>
      </c>
    </row>
    <row r="15" customFormat="false" ht="15" hidden="false" customHeight="false" outlineLevel="0" collapsed="false">
      <c r="A15" s="5" t="s">
        <v>105</v>
      </c>
      <c r="B15" s="5" t="s">
        <v>1934</v>
      </c>
      <c r="C15" s="8" t="n">
        <f aca="false">VALUE(LEFT(B15,4))</f>
        <v>2023</v>
      </c>
      <c r="D15" s="5" t="s">
        <v>1935</v>
      </c>
      <c r="E15" s="8" t="n">
        <f aca="false">VALUE(LEFT(D15,4))</f>
        <v>2025</v>
      </c>
      <c r="F15" s="8" t="n">
        <f aca="false">INDEX(Acts!$L:$L,MATCH(A15,Acts!$B:$B,0))</f>
        <v>1981</v>
      </c>
      <c r="G15" s="8" t="n">
        <f aca="false">INDEX(Acts!$M:$M,MATCH(A15,Acts!$B:$B,0))</f>
        <v>2001</v>
      </c>
      <c r="H15" s="5" t="n">
        <f aca="false">IF(AND(ISNUMBER(F15),C15&gt;=F15,E15&lt;=G15),MAX(0,E15-C15-1),0)</f>
        <v>0</v>
      </c>
    </row>
    <row r="16" customFormat="false" ht="15" hidden="false" customHeight="false" outlineLevel="0" collapsed="false">
      <c r="A16" s="5" t="s">
        <v>126</v>
      </c>
      <c r="B16" s="5" t="s">
        <v>1936</v>
      </c>
      <c r="C16" s="8" t="n">
        <f aca="false">VALUE(LEFT(B16,4))</f>
        <v>1990</v>
      </c>
      <c r="D16" s="5" t="s">
        <v>1937</v>
      </c>
      <c r="E16" s="8" t="n">
        <f aca="false">VALUE(LEFT(D16,4))</f>
        <v>1999</v>
      </c>
      <c r="F16" s="8" t="n">
        <f aca="false">INDEX(Acts!$L:$L,MATCH(A16,Acts!$B:$B,0))</f>
        <v>1984</v>
      </c>
      <c r="G16" s="8" t="n">
        <f aca="false">INDEX(Acts!$M:$M,MATCH(A16,Acts!$B:$B,0))</f>
        <v>1990</v>
      </c>
      <c r="H16" s="5" t="n">
        <f aca="false">IF(AND(ISNUMBER(F16),C16&gt;=F16,E16&lt;=G16),MAX(0,E16-C16-1),0)</f>
        <v>0</v>
      </c>
    </row>
    <row r="17" customFormat="false" ht="15" hidden="false" customHeight="false" outlineLevel="0" collapsed="false">
      <c r="A17" s="5" t="s">
        <v>126</v>
      </c>
      <c r="B17" s="5" t="s">
        <v>1938</v>
      </c>
      <c r="C17" s="8" t="n">
        <f aca="false">VALUE(LEFT(B17,4))</f>
        <v>2000</v>
      </c>
      <c r="D17" s="5" t="s">
        <v>1939</v>
      </c>
      <c r="E17" s="8" t="n">
        <f aca="false">VALUE(LEFT(D17,4))</f>
        <v>2010</v>
      </c>
      <c r="F17" s="8" t="n">
        <f aca="false">INDEX(Acts!$L:$L,MATCH(A17,Acts!$B:$B,0))</f>
        <v>1984</v>
      </c>
      <c r="G17" s="8" t="n">
        <f aca="false">INDEX(Acts!$M:$M,MATCH(A17,Acts!$B:$B,0))</f>
        <v>1990</v>
      </c>
      <c r="H17" s="5" t="n">
        <f aca="false">IF(AND(ISNUMBER(F17),C17&gt;=F17,E17&lt;=G17),MAX(0,E17-C17-1),0)</f>
        <v>0</v>
      </c>
    </row>
    <row r="18" customFormat="false" ht="15" hidden="false" customHeight="false" outlineLevel="0" collapsed="false">
      <c r="A18" s="5" t="s">
        <v>135</v>
      </c>
      <c r="B18" s="5" t="s">
        <v>1099</v>
      </c>
      <c r="C18" s="8" t="n">
        <f aca="false">VALUE(LEFT(B18,4))</f>
        <v>1982</v>
      </c>
      <c r="D18" s="5" t="s">
        <v>486</v>
      </c>
      <c r="E18" s="8" t="n">
        <f aca="false">VALUE(LEFT(D18,4))</f>
        <v>1986</v>
      </c>
      <c r="F18" s="8" t="n">
        <f aca="false">INDEX(Acts!$L:$L,MATCH(A18,Acts!$B:$B,0))</f>
        <v>1979</v>
      </c>
      <c r="G18" s="8" t="n">
        <f aca="false">INDEX(Acts!$M:$M,MATCH(A18,Acts!$B:$B,0))</f>
        <v>2001</v>
      </c>
      <c r="H18" s="5" t="n">
        <f aca="false">IF(AND(ISNUMBER(F18),C18&gt;=F18,E18&lt;=G18),MAX(0,E18-C18-1),0)</f>
        <v>3</v>
      </c>
    </row>
    <row r="19" customFormat="false" ht="15" hidden="false" customHeight="false" outlineLevel="0" collapsed="false">
      <c r="A19" s="5" t="s">
        <v>135</v>
      </c>
      <c r="B19" s="5" t="s">
        <v>410</v>
      </c>
      <c r="C19" s="8" t="n">
        <f aca="false">VALUE(LEFT(B19,4))</f>
        <v>1992</v>
      </c>
      <c r="D19" s="5" t="s">
        <v>942</v>
      </c>
      <c r="E19" s="8" t="n">
        <f aca="false">VALUE(LEFT(D19,4))</f>
        <v>1994</v>
      </c>
      <c r="F19" s="8" t="n">
        <f aca="false">INDEX(Acts!$L:$L,MATCH(A19,Acts!$B:$B,0))</f>
        <v>1979</v>
      </c>
      <c r="G19" s="8" t="n">
        <f aca="false">INDEX(Acts!$M:$M,MATCH(A19,Acts!$B:$B,0))</f>
        <v>2001</v>
      </c>
      <c r="H19" s="5" t="n">
        <f aca="false">IF(AND(ISNUMBER(F19),C19&gt;=F19,E19&lt;=G19),MAX(0,E19-C19-1),0)</f>
        <v>1</v>
      </c>
    </row>
    <row r="20" customFormat="false" ht="15" hidden="false" customHeight="false" outlineLevel="0" collapsed="false">
      <c r="A20" s="5" t="s">
        <v>141</v>
      </c>
      <c r="B20" s="5" t="s">
        <v>924</v>
      </c>
      <c r="C20" s="8" t="n">
        <f aca="false">VALUE(LEFT(B20,4))</f>
        <v>1986</v>
      </c>
      <c r="D20" s="5" t="s">
        <v>1940</v>
      </c>
      <c r="E20" s="8" t="n">
        <f aca="false">VALUE(LEFT(D20,4))</f>
        <v>1996</v>
      </c>
      <c r="F20" s="8" t="n">
        <f aca="false">INDEX(Acts!$L:$L,MATCH(A20,Acts!$B:$B,0))</f>
        <v>1981</v>
      </c>
      <c r="G20" s="8" t="n">
        <f aca="false">INDEX(Acts!$M:$M,MATCH(A20,Acts!$B:$B,0))</f>
        <v>1985</v>
      </c>
      <c r="H20" s="5" t="n">
        <f aca="false">IF(AND(ISNUMBER(F20),C20&gt;=F20,E20&lt;=G20),MAX(0,E20-C20-1),0)</f>
        <v>0</v>
      </c>
    </row>
    <row r="21" customFormat="false" ht="15" hidden="false" customHeight="false" outlineLevel="0" collapsed="false">
      <c r="A21" s="5" t="s">
        <v>144</v>
      </c>
      <c r="B21" s="5" t="s">
        <v>938</v>
      </c>
      <c r="C21" s="8" t="n">
        <f aca="false">VALUE(LEFT(B21,4))</f>
        <v>1993</v>
      </c>
      <c r="D21" s="5" t="s">
        <v>1046</v>
      </c>
      <c r="E21" s="8" t="n">
        <f aca="false">VALUE(LEFT(D21,4))</f>
        <v>2003</v>
      </c>
      <c r="F21" s="8" t="n">
        <f aca="false">INDEX(Acts!$L:$L,MATCH(A21,Acts!$B:$B,0))</f>
        <v>1982</v>
      </c>
      <c r="G21" s="8" t="n">
        <f aca="false">INDEX(Acts!$M:$M,MATCH(A21,Acts!$B:$B,0))</f>
        <v>2025</v>
      </c>
      <c r="H21" s="5" t="n">
        <f aca="false">IF(AND(ISNUMBER(F21),C21&gt;=F21,E21&lt;=G21),MAX(0,E21-C21-1),0)</f>
        <v>9</v>
      </c>
    </row>
    <row r="22" customFormat="false" ht="15" hidden="false" customHeight="false" outlineLevel="0" collapsed="false">
      <c r="A22" s="5" t="s">
        <v>144</v>
      </c>
      <c r="B22" s="5" t="s">
        <v>1941</v>
      </c>
      <c r="C22" s="8" t="n">
        <f aca="false">VALUE(LEFT(B22,4))</f>
        <v>2004</v>
      </c>
      <c r="D22" s="5" t="s">
        <v>1942</v>
      </c>
      <c r="E22" s="8" t="n">
        <f aca="false">VALUE(LEFT(D22,4))</f>
        <v>2010</v>
      </c>
      <c r="F22" s="8" t="n">
        <f aca="false">INDEX(Acts!$L:$L,MATCH(A22,Acts!$B:$B,0))</f>
        <v>1982</v>
      </c>
      <c r="G22" s="8" t="n">
        <f aca="false">INDEX(Acts!$M:$M,MATCH(A22,Acts!$B:$B,0))</f>
        <v>2025</v>
      </c>
      <c r="H22" s="5" t="n">
        <f aca="false">IF(AND(ISNUMBER(F22),C22&gt;=F22,E22&lt;=G22),MAX(0,E22-C22-1),0)</f>
        <v>5</v>
      </c>
    </row>
    <row r="23" customFormat="false" ht="15" hidden="false" customHeight="false" outlineLevel="0" collapsed="false">
      <c r="A23" s="5" t="s">
        <v>147</v>
      </c>
      <c r="B23" s="5" t="s">
        <v>1943</v>
      </c>
      <c r="C23" s="8" t="n">
        <f aca="false">VALUE(LEFT(B23,4))</f>
        <v>1985</v>
      </c>
      <c r="D23" s="5" t="s">
        <v>1944</v>
      </c>
      <c r="E23" s="8" t="n">
        <f aca="false">VALUE(LEFT(D23,4))</f>
        <v>2001</v>
      </c>
      <c r="F23" s="8" t="n">
        <f aca="false">INDEX(Acts!$L:$L,MATCH(A23,Acts!$B:$B,0))</f>
        <v>1982</v>
      </c>
      <c r="G23" s="8" t="n">
        <f aca="false">INDEX(Acts!$M:$M,MATCH(A23,Acts!$B:$B,0))</f>
        <v>2018</v>
      </c>
      <c r="H23" s="5" t="n">
        <f aca="false">IF(AND(ISNUMBER(F23),C23&gt;=F23,E23&lt;=G23),MAX(0,E23-C23-1),0)</f>
        <v>15</v>
      </c>
    </row>
    <row r="24" customFormat="false" ht="15" hidden="false" customHeight="false" outlineLevel="0" collapsed="false">
      <c r="A24" s="5" t="s">
        <v>153</v>
      </c>
      <c r="B24" s="5" t="s">
        <v>1945</v>
      </c>
      <c r="C24" s="8" t="n">
        <f aca="false">VALUE(LEFT(B24,4))</f>
        <v>1992</v>
      </c>
      <c r="D24" s="5" t="s">
        <v>1946</v>
      </c>
      <c r="E24" s="8" t="n">
        <f aca="false">VALUE(LEFT(D24,4))</f>
        <v>2013</v>
      </c>
      <c r="F24" s="8" t="n">
        <f aca="false">INDEX(Acts!$L:$L,MATCH(A24,Acts!$B:$B,0))</f>
        <v>1982</v>
      </c>
      <c r="G24" s="8" t="n">
        <f aca="false">INDEX(Acts!$M:$M,MATCH(A24,Acts!$B:$B,0))</f>
        <v>2016</v>
      </c>
      <c r="H24" s="5" t="n">
        <f aca="false">IF(AND(ISNUMBER(F24),C24&gt;=F24,E24&lt;=G24),MAX(0,E24-C24-1),0)</f>
        <v>20</v>
      </c>
    </row>
    <row r="25" customFormat="false" ht="15" hidden="false" customHeight="false" outlineLevel="0" collapsed="false">
      <c r="A25" s="5" t="s">
        <v>175</v>
      </c>
      <c r="B25" s="5" t="s">
        <v>1947</v>
      </c>
      <c r="C25" s="8" t="n">
        <f aca="false">VALUE(LEFT(B25,4))</f>
        <v>2007</v>
      </c>
      <c r="D25" s="5" t="s">
        <v>1948</v>
      </c>
      <c r="E25" s="8" t="n">
        <f aca="false">VALUE(LEFT(D25,4))</f>
        <v>2015</v>
      </c>
      <c r="F25" s="8" t="n">
        <f aca="false">INDEX(Acts!$L:$L,MATCH(A25,Acts!$B:$B,0))</f>
        <v>1985</v>
      </c>
      <c r="G25" s="8" t="n">
        <f aca="false">INDEX(Acts!$M:$M,MATCH(A25,Acts!$B:$B,0))</f>
        <v>2023</v>
      </c>
      <c r="H25" s="5" t="n">
        <f aca="false">IF(AND(ISNUMBER(F25),C25&gt;=F25,E25&lt;=G25),MAX(0,E25-C25-1),0)</f>
        <v>7</v>
      </c>
    </row>
    <row r="26" customFormat="false" ht="15" hidden="false" customHeight="false" outlineLevel="0" collapsed="false">
      <c r="A26" s="5" t="s">
        <v>178</v>
      </c>
      <c r="B26" s="5" t="s">
        <v>1926</v>
      </c>
      <c r="C26" s="8" t="n">
        <f aca="false">VALUE(LEFT(B26,4))</f>
        <v>1998</v>
      </c>
      <c r="D26" s="5" t="s">
        <v>1949</v>
      </c>
      <c r="E26" s="8" t="n">
        <f aca="false">VALUE(LEFT(D26,4))</f>
        <v>2006</v>
      </c>
      <c r="F26" s="8" t="n">
        <f aca="false">INDEX(Acts!$L:$L,MATCH(A26,Acts!$B:$B,0))</f>
        <v>1989</v>
      </c>
      <c r="G26" s="8" t="n">
        <f aca="false">INDEX(Acts!$M:$M,MATCH(A26,Acts!$B:$B,0))</f>
        <v>1997</v>
      </c>
      <c r="H26" s="5" t="n">
        <f aca="false">IF(AND(ISNUMBER(F26),C26&gt;=F26,E26&lt;=G26),MAX(0,E26-C26-1),0)</f>
        <v>0</v>
      </c>
    </row>
    <row r="27" customFormat="false" ht="15" hidden="false" customHeight="false" outlineLevel="0" collapsed="false">
      <c r="A27" s="5" t="s">
        <v>181</v>
      </c>
      <c r="B27" s="5" t="s">
        <v>915</v>
      </c>
      <c r="C27" s="8" t="n">
        <f aca="false">VALUE(LEFT(B27,4))</f>
        <v>1984</v>
      </c>
      <c r="D27" s="5" t="s">
        <v>924</v>
      </c>
      <c r="E27" s="8" t="n">
        <f aca="false">VALUE(LEFT(D27,4))</f>
        <v>1986</v>
      </c>
      <c r="F27" s="8" t="n">
        <f aca="false">INDEX(Acts!$L:$L,MATCH(A27,Acts!$B:$B,0))</f>
        <v>1981</v>
      </c>
      <c r="G27" s="8" t="n">
        <f aca="false">INDEX(Acts!$M:$M,MATCH(A27,Acts!$B:$B,0))</f>
        <v>2019</v>
      </c>
      <c r="H27" s="5" t="n">
        <f aca="false">IF(AND(ISNUMBER(F27),C27&gt;=F27,E27&lt;=G27),MAX(0,E27-C27-1),0)</f>
        <v>1</v>
      </c>
    </row>
    <row r="28" customFormat="false" ht="15" hidden="false" customHeight="false" outlineLevel="0" collapsed="false">
      <c r="A28" s="5" t="s">
        <v>181</v>
      </c>
      <c r="B28" s="5" t="s">
        <v>1431</v>
      </c>
      <c r="C28" s="8" t="n">
        <f aca="false">VALUE(LEFT(B28,4))</f>
        <v>1986</v>
      </c>
      <c r="D28" s="5" t="s">
        <v>1496</v>
      </c>
      <c r="E28" s="8" t="n">
        <f aca="false">VALUE(LEFT(D28,4))</f>
        <v>1988</v>
      </c>
      <c r="F28" s="8" t="n">
        <f aca="false">INDEX(Acts!$L:$L,MATCH(A28,Acts!$B:$B,0))</f>
        <v>1981</v>
      </c>
      <c r="G28" s="8" t="n">
        <f aca="false">INDEX(Acts!$M:$M,MATCH(A28,Acts!$B:$B,0))</f>
        <v>2019</v>
      </c>
      <c r="H28" s="5" t="n">
        <f aca="false">IF(AND(ISNUMBER(F28),C28&gt;=F28,E28&lt;=G28),MAX(0,E28-C28-1),0)</f>
        <v>1</v>
      </c>
    </row>
    <row r="29" customFormat="false" ht="15" hidden="false" customHeight="false" outlineLevel="0" collapsed="false">
      <c r="A29" s="5" t="s">
        <v>181</v>
      </c>
      <c r="B29" s="5" t="s">
        <v>410</v>
      </c>
      <c r="C29" s="8" t="n">
        <f aca="false">VALUE(LEFT(B29,4))</f>
        <v>1992</v>
      </c>
      <c r="D29" s="5" t="s">
        <v>1941</v>
      </c>
      <c r="E29" s="8" t="n">
        <f aca="false">VALUE(LEFT(D29,4))</f>
        <v>2004</v>
      </c>
      <c r="F29" s="8" t="n">
        <f aca="false">INDEX(Acts!$L:$L,MATCH(A29,Acts!$B:$B,0))</f>
        <v>1981</v>
      </c>
      <c r="G29" s="8" t="n">
        <f aca="false">INDEX(Acts!$M:$M,MATCH(A29,Acts!$B:$B,0))</f>
        <v>2019</v>
      </c>
      <c r="H29" s="5" t="n">
        <f aca="false">IF(AND(ISNUMBER(F29),C29&gt;=F29,E29&lt;=G29),MAX(0,E29-C29-1),0)</f>
        <v>11</v>
      </c>
    </row>
    <row r="30" customFormat="false" ht="15" hidden="false" customHeight="false" outlineLevel="0" collapsed="false">
      <c r="A30" s="5" t="s">
        <v>181</v>
      </c>
      <c r="B30" s="5" t="s">
        <v>1941</v>
      </c>
      <c r="C30" s="8" t="n">
        <f aca="false">VALUE(LEFT(B30,4))</f>
        <v>2004</v>
      </c>
      <c r="D30" s="5" t="s">
        <v>422</v>
      </c>
      <c r="E30" s="8" t="n">
        <f aca="false">VALUE(LEFT(D30,4))</f>
        <v>2007</v>
      </c>
      <c r="F30" s="8" t="n">
        <f aca="false">INDEX(Acts!$L:$L,MATCH(A30,Acts!$B:$B,0))</f>
        <v>1981</v>
      </c>
      <c r="G30" s="8" t="n">
        <f aca="false">INDEX(Acts!$M:$M,MATCH(A30,Acts!$B:$B,0))</f>
        <v>2019</v>
      </c>
      <c r="H30" s="5" t="n">
        <f aca="false">IF(AND(ISNUMBER(F30),C30&gt;=F30,E30&lt;=G30),MAX(0,E30-C30-1),0)</f>
        <v>2</v>
      </c>
    </row>
    <row r="31" customFormat="false" ht="15" hidden="false" customHeight="false" outlineLevel="0" collapsed="false">
      <c r="A31" s="5" t="s">
        <v>181</v>
      </c>
      <c r="B31" s="5" t="s">
        <v>1258</v>
      </c>
      <c r="C31" s="8" t="n">
        <f aca="false">VALUE(LEFT(B31,4))</f>
        <v>2008</v>
      </c>
      <c r="D31" s="5" t="s">
        <v>1950</v>
      </c>
      <c r="E31" s="8" t="n">
        <f aca="false">VALUE(LEFT(D31,4))</f>
        <v>2018</v>
      </c>
      <c r="F31" s="8" t="n">
        <f aca="false">INDEX(Acts!$L:$L,MATCH(A31,Acts!$B:$B,0))</f>
        <v>1981</v>
      </c>
      <c r="G31" s="8" t="n">
        <f aca="false">INDEX(Acts!$M:$M,MATCH(A31,Acts!$B:$B,0))</f>
        <v>2019</v>
      </c>
      <c r="H31" s="5" t="n">
        <f aca="false">IF(AND(ISNUMBER(F31),C31&gt;=F31,E31&lt;=G31),MAX(0,E31-C31-1),0)</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2026-10-29T07:16:20Z</dcterms:created>
  <dc:creator>openpyxl</dc:creator>
  <dc:description/>
  <dc:language>en-US</dc:language>
  <cp:lastModifiedBy/>
  <dcterms:modified xsi:type="dcterms:W3CDTF">2026-10-29T07:16:20Z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